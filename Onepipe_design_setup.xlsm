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kola\IQPump\BB_working_group\en_442_onepipe\ExcelPython\"/>
    </mc:Choice>
  </mc:AlternateContent>
  <xr:revisionPtr revIDLastSave="0" documentId="13_ncr:1_{C883EFC5-6E33-4ADF-B93C-FA977D817C86}" xr6:coauthVersionLast="37" xr6:coauthVersionMax="37" xr10:uidLastSave="{00000000-0000-0000-0000-000000000000}"/>
  <bookViews>
    <workbookView xWindow="0" yWindow="0" windowWidth="16410" windowHeight="7485" xr2:uid="{F8B21344-B3AF-436A-A7E4-432AB9B942B1}"/>
  </bookViews>
  <sheets>
    <sheet name="Project_setup" sheetId="2" r:id="rId1"/>
    <sheet name="KORADO_Radik" sheetId="3" r:id="rId2"/>
    <sheet name="DAIKIN_FW_" sheetId="4" r:id="rId3"/>
    <sheet name="Lx300" sheetId="17" r:id="rId4"/>
    <sheet name="Lx400" sheetId="18" r:id="rId5"/>
    <sheet name="Lx500" sheetId="19" r:id="rId6"/>
    <sheet name="Lx600" sheetId="20" r:id="rId7"/>
    <sheet name="Lx700" sheetId="21" r:id="rId8"/>
    <sheet name="Lx900" sheetId="22" r:id="rId9"/>
  </sheets>
  <functionGroups builtInGroupCount="19"/>
  <definedNames>
    <definedName name="solver_adj" localSheetId="0" hidden="1">Project_setup!$K$4:$L$8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Project_setup!$L$4:$L$8</definedName>
    <definedName name="solver_lhs2" localSheetId="0" hidden="1">Project_setup!$L$4:$L$8</definedName>
    <definedName name="solver_lhs3" localSheetId="0" hidden="1">Project_setup!$I$4:$I$8</definedName>
    <definedName name="solver_lhs4" localSheetId="0" hidden="1">Project_setup!$M$4</definedName>
    <definedName name="solver_lhs5" localSheetId="0" hidden="1">Project_setup!$M$4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5</definedName>
    <definedName name="solver_nwt" localSheetId="0" hidden="1">1</definedName>
    <definedName name="solver_opt" localSheetId="0" hidden="1">Project_setup!$Q$4</definedName>
    <definedName name="solver_pre" localSheetId="0" hidden="1">0.000001</definedName>
    <definedName name="solver_rbv" localSheetId="0" hidden="1">2</definedName>
    <definedName name="solver_rel1" localSheetId="0" hidden="1">3</definedName>
    <definedName name="solver_rel2" localSheetId="0" hidden="1">1</definedName>
    <definedName name="solver_rel3" localSheetId="0" hidden="1">3</definedName>
    <definedName name="solver_rel4" localSheetId="0" hidden="1">1</definedName>
    <definedName name="solver_rel5" localSheetId="0" hidden="1">3</definedName>
    <definedName name="solver_rhs1" localSheetId="0" hidden="1">Project_setup!$T$4</definedName>
    <definedName name="solver_rhs2" localSheetId="0" hidden="1">Project_setup!$M$4</definedName>
    <definedName name="solver_rhs3" localSheetId="0" hidden="1">Project_setup!$F$5</definedName>
    <definedName name="solver_rhs4" localSheetId="0" hidden="1">Project_setup!$S$5</definedName>
    <definedName name="solver_rhs5" localSheetId="0" hidden="1">0.001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8" i="2" l="1"/>
  <c r="E19" i="2"/>
  <c r="E20" i="2"/>
  <c r="E21" i="2"/>
  <c r="E22" i="2"/>
  <c r="E23" i="2"/>
  <c r="E24" i="2"/>
  <c r="E25" i="2"/>
  <c r="E26" i="2"/>
  <c r="E27" i="2"/>
  <c r="E28" i="2"/>
  <c r="E29" i="2"/>
  <c r="E11" i="2"/>
  <c r="I3" i="22" l="1"/>
  <c r="G3" i="22"/>
  <c r="I91" i="22" l="1"/>
  <c r="G91" i="22"/>
  <c r="I90" i="22"/>
  <c r="G90" i="22"/>
  <c r="I89" i="22"/>
  <c r="G89" i="22"/>
  <c r="I88" i="22"/>
  <c r="G88" i="22"/>
  <c r="I87" i="22"/>
  <c r="G87" i="22"/>
  <c r="I86" i="22"/>
  <c r="G86" i="22"/>
  <c r="I85" i="22"/>
  <c r="G85" i="22"/>
  <c r="I84" i="22"/>
  <c r="G84" i="22"/>
  <c r="I83" i="22"/>
  <c r="G83" i="22"/>
  <c r="I82" i="22"/>
  <c r="G82" i="22"/>
  <c r="I81" i="22"/>
  <c r="G81" i="22"/>
  <c r="I80" i="22"/>
  <c r="G80" i="22"/>
  <c r="I79" i="22"/>
  <c r="G79" i="22"/>
  <c r="I78" i="22"/>
  <c r="G78" i="22"/>
  <c r="I77" i="22"/>
  <c r="G77" i="22"/>
  <c r="I76" i="22"/>
  <c r="G76" i="22"/>
  <c r="I75" i="22"/>
  <c r="G75" i="22"/>
  <c r="I74" i="22"/>
  <c r="G74" i="22"/>
  <c r="I73" i="22"/>
  <c r="G73" i="22"/>
  <c r="I72" i="22"/>
  <c r="G72" i="22"/>
  <c r="I71" i="22"/>
  <c r="G71" i="22"/>
  <c r="I70" i="22"/>
  <c r="G70" i="22"/>
  <c r="I69" i="22"/>
  <c r="G69" i="22"/>
  <c r="I68" i="22"/>
  <c r="G68" i="22"/>
  <c r="I67" i="22"/>
  <c r="G67" i="22"/>
  <c r="I66" i="22"/>
  <c r="G66" i="22"/>
  <c r="I65" i="22"/>
  <c r="G65" i="22"/>
  <c r="I64" i="22"/>
  <c r="G64" i="22"/>
  <c r="I63" i="22"/>
  <c r="G63" i="22"/>
  <c r="I62" i="22"/>
  <c r="G62" i="22"/>
  <c r="I61" i="22"/>
  <c r="G61" i="22"/>
  <c r="I60" i="22"/>
  <c r="G60" i="22"/>
  <c r="I59" i="22"/>
  <c r="G59" i="22"/>
  <c r="I58" i="22"/>
  <c r="G58" i="22"/>
  <c r="I57" i="22"/>
  <c r="G57" i="22"/>
  <c r="I56" i="22"/>
  <c r="G56" i="22"/>
  <c r="I55" i="22"/>
  <c r="G55" i="22"/>
  <c r="I54" i="22"/>
  <c r="G54" i="22"/>
  <c r="I53" i="22"/>
  <c r="G53" i="22"/>
  <c r="I52" i="22"/>
  <c r="G52" i="22"/>
  <c r="I51" i="22"/>
  <c r="G51" i="22"/>
  <c r="I50" i="22"/>
  <c r="G50" i="22"/>
  <c r="I49" i="22"/>
  <c r="G49" i="22"/>
  <c r="I48" i="22"/>
  <c r="G48" i="22"/>
  <c r="I47" i="22"/>
  <c r="G47" i="22"/>
  <c r="I46" i="22"/>
  <c r="G46" i="22"/>
  <c r="I45" i="22"/>
  <c r="G45" i="22"/>
  <c r="I44" i="22"/>
  <c r="G44" i="22"/>
  <c r="I43" i="22"/>
  <c r="G43" i="22"/>
  <c r="I42" i="22"/>
  <c r="G42" i="22"/>
  <c r="I41" i="22"/>
  <c r="G41" i="22"/>
  <c r="I40" i="22"/>
  <c r="G40" i="22"/>
  <c r="I39" i="22"/>
  <c r="G39" i="22"/>
  <c r="I38" i="22"/>
  <c r="G38" i="22"/>
  <c r="I37" i="22"/>
  <c r="G37" i="22"/>
  <c r="I36" i="22"/>
  <c r="G36" i="22"/>
  <c r="I35" i="22"/>
  <c r="G35" i="22"/>
  <c r="I34" i="22"/>
  <c r="G34" i="22"/>
  <c r="I33" i="22"/>
  <c r="G33" i="22"/>
  <c r="I32" i="22"/>
  <c r="G32" i="22"/>
  <c r="I31" i="22"/>
  <c r="G31" i="22"/>
  <c r="I30" i="22"/>
  <c r="G30" i="22"/>
  <c r="I29" i="22"/>
  <c r="G29" i="22"/>
  <c r="I28" i="22"/>
  <c r="G28" i="22"/>
  <c r="I27" i="22"/>
  <c r="G27" i="22"/>
  <c r="I26" i="22"/>
  <c r="G26" i="22"/>
  <c r="I25" i="22"/>
  <c r="G25" i="22"/>
  <c r="I24" i="22"/>
  <c r="G24" i="22"/>
  <c r="I23" i="22"/>
  <c r="G23" i="22"/>
  <c r="I22" i="22"/>
  <c r="G22" i="22"/>
  <c r="I21" i="22"/>
  <c r="G21" i="22"/>
  <c r="I20" i="22"/>
  <c r="G20" i="22"/>
  <c r="I19" i="22"/>
  <c r="G19" i="22"/>
  <c r="I18" i="22"/>
  <c r="G18" i="22"/>
  <c r="I17" i="22"/>
  <c r="G17" i="22"/>
  <c r="I16" i="22"/>
  <c r="G16" i="22"/>
  <c r="I15" i="22"/>
  <c r="G15" i="22"/>
  <c r="I14" i="22"/>
  <c r="G14" i="22"/>
  <c r="I13" i="22"/>
  <c r="G13" i="22"/>
  <c r="I12" i="22"/>
  <c r="G12" i="22"/>
  <c r="I11" i="22"/>
  <c r="G11" i="22"/>
  <c r="I10" i="22"/>
  <c r="G10" i="22"/>
  <c r="I9" i="22"/>
  <c r="G9" i="22"/>
  <c r="I8" i="22"/>
  <c r="G8" i="22"/>
  <c r="I7" i="22"/>
  <c r="G7" i="22"/>
  <c r="I6" i="22"/>
  <c r="G6" i="22"/>
  <c r="I5" i="22"/>
  <c r="G5" i="22"/>
  <c r="I4" i="22"/>
  <c r="G4" i="22"/>
  <c r="N3" i="22"/>
  <c r="G120" i="21"/>
  <c r="I120" i="21" s="1"/>
  <c r="G119" i="21"/>
  <c r="I119" i="21" s="1"/>
  <c r="G118" i="21"/>
  <c r="I118" i="21" s="1"/>
  <c r="G117" i="21"/>
  <c r="I117" i="21" s="1"/>
  <c r="G116" i="21"/>
  <c r="I116" i="21" s="1"/>
  <c r="G115" i="21"/>
  <c r="I115" i="21" s="1"/>
  <c r="G114" i="21"/>
  <c r="I114" i="21" s="1"/>
  <c r="G113" i="21"/>
  <c r="I113" i="21" s="1"/>
  <c r="G112" i="21"/>
  <c r="I112" i="21" s="1"/>
  <c r="G111" i="21"/>
  <c r="I111" i="21" s="1"/>
  <c r="G110" i="21"/>
  <c r="I110" i="21" s="1"/>
  <c r="G109" i="21"/>
  <c r="I109" i="21" s="1"/>
  <c r="G108" i="21"/>
  <c r="I108" i="21" s="1"/>
  <c r="G107" i="21"/>
  <c r="I107" i="21" s="1"/>
  <c r="G106" i="21"/>
  <c r="I106" i="21" s="1"/>
  <c r="G105" i="21"/>
  <c r="I105" i="21" s="1"/>
  <c r="G104" i="21"/>
  <c r="I104" i="21" s="1"/>
  <c r="G103" i="21"/>
  <c r="I103" i="21" s="1"/>
  <c r="G102" i="21"/>
  <c r="I102" i="21" s="1"/>
  <c r="G101" i="21"/>
  <c r="I101" i="21" s="1"/>
  <c r="G100" i="21"/>
  <c r="I100" i="21" s="1"/>
  <c r="G99" i="21"/>
  <c r="I99" i="21" s="1"/>
  <c r="G98" i="21"/>
  <c r="I98" i="21" s="1"/>
  <c r="G97" i="21"/>
  <c r="I97" i="21" s="1"/>
  <c r="G96" i="21"/>
  <c r="I96" i="21" s="1"/>
  <c r="G95" i="21"/>
  <c r="I95" i="21" s="1"/>
  <c r="G94" i="21"/>
  <c r="I94" i="21" s="1"/>
  <c r="G93" i="21"/>
  <c r="I93" i="21" s="1"/>
  <c r="G92" i="21"/>
  <c r="I92" i="21" s="1"/>
  <c r="G91" i="21"/>
  <c r="I91" i="21" s="1"/>
  <c r="G90" i="21"/>
  <c r="I90" i="21" s="1"/>
  <c r="G89" i="21"/>
  <c r="I89" i="21" s="1"/>
  <c r="G88" i="21"/>
  <c r="I88" i="21" s="1"/>
  <c r="G87" i="21"/>
  <c r="I87" i="21" s="1"/>
  <c r="G86" i="21"/>
  <c r="I86" i="21" s="1"/>
  <c r="G85" i="21"/>
  <c r="I85" i="21" s="1"/>
  <c r="G84" i="21"/>
  <c r="I84" i="21" s="1"/>
  <c r="G83" i="21"/>
  <c r="I83" i="21" s="1"/>
  <c r="G82" i="21"/>
  <c r="I82" i="21" s="1"/>
  <c r="G81" i="21"/>
  <c r="I81" i="21" s="1"/>
  <c r="G80" i="21"/>
  <c r="I80" i="21" s="1"/>
  <c r="G79" i="21"/>
  <c r="I79" i="21" s="1"/>
  <c r="G78" i="21"/>
  <c r="I78" i="21" s="1"/>
  <c r="G77" i="21"/>
  <c r="I77" i="21" s="1"/>
  <c r="G76" i="21"/>
  <c r="I76" i="21" s="1"/>
  <c r="G75" i="21"/>
  <c r="I75" i="21" s="1"/>
  <c r="G74" i="21"/>
  <c r="I74" i="21" s="1"/>
  <c r="G73" i="21"/>
  <c r="I73" i="21" s="1"/>
  <c r="G72" i="21"/>
  <c r="I72" i="21" s="1"/>
  <c r="G71" i="21"/>
  <c r="I71" i="21" s="1"/>
  <c r="G70" i="21"/>
  <c r="I70" i="21" s="1"/>
  <c r="G69" i="21"/>
  <c r="I69" i="21" s="1"/>
  <c r="G68" i="21"/>
  <c r="I68" i="21" s="1"/>
  <c r="G67" i="21"/>
  <c r="I67" i="21" s="1"/>
  <c r="G66" i="21"/>
  <c r="I66" i="21" s="1"/>
  <c r="G65" i="21"/>
  <c r="I65" i="21" s="1"/>
  <c r="G64" i="21"/>
  <c r="I64" i="21" s="1"/>
  <c r="G63" i="21"/>
  <c r="I63" i="21" s="1"/>
  <c r="G62" i="21"/>
  <c r="I62" i="21" s="1"/>
  <c r="G61" i="21"/>
  <c r="I61" i="21" s="1"/>
  <c r="G60" i="21"/>
  <c r="I60" i="21" s="1"/>
  <c r="G59" i="21"/>
  <c r="I59" i="21" s="1"/>
  <c r="G58" i="21"/>
  <c r="I58" i="21" s="1"/>
  <c r="G57" i="21"/>
  <c r="I57" i="21" s="1"/>
  <c r="G56" i="21"/>
  <c r="I56" i="21" s="1"/>
  <c r="G55" i="21"/>
  <c r="I55" i="21" s="1"/>
  <c r="G54" i="21"/>
  <c r="I54" i="21" s="1"/>
  <c r="G53" i="21"/>
  <c r="I53" i="21" s="1"/>
  <c r="G52" i="21"/>
  <c r="I52" i="21" s="1"/>
  <c r="G51" i="21"/>
  <c r="I51" i="21" s="1"/>
  <c r="G50" i="21"/>
  <c r="I50" i="21" s="1"/>
  <c r="G49" i="21"/>
  <c r="I49" i="21" s="1"/>
  <c r="G48" i="21"/>
  <c r="I48" i="21" s="1"/>
  <c r="G47" i="21"/>
  <c r="I47" i="21" s="1"/>
  <c r="G46" i="21"/>
  <c r="I46" i="21" s="1"/>
  <c r="G45" i="21"/>
  <c r="I45" i="21" s="1"/>
  <c r="G44" i="21"/>
  <c r="I44" i="21" s="1"/>
  <c r="G43" i="21"/>
  <c r="I43" i="21" s="1"/>
  <c r="G42" i="21"/>
  <c r="I42" i="21" s="1"/>
  <c r="G41" i="21"/>
  <c r="I41" i="21" s="1"/>
  <c r="G40" i="21"/>
  <c r="I40" i="21" s="1"/>
  <c r="G39" i="21"/>
  <c r="I39" i="21" s="1"/>
  <c r="G38" i="21"/>
  <c r="I38" i="21" s="1"/>
  <c r="G37" i="21"/>
  <c r="I37" i="21" s="1"/>
  <c r="G36" i="21"/>
  <c r="I36" i="21" s="1"/>
  <c r="G35" i="21"/>
  <c r="I35" i="21" s="1"/>
  <c r="G34" i="21"/>
  <c r="I34" i="21" s="1"/>
  <c r="G33" i="21"/>
  <c r="I33" i="21" s="1"/>
  <c r="G32" i="21"/>
  <c r="I32" i="21" s="1"/>
  <c r="G31" i="21"/>
  <c r="I31" i="21" s="1"/>
  <c r="G30" i="21"/>
  <c r="I30" i="21" s="1"/>
  <c r="G29" i="21"/>
  <c r="I29" i="21" s="1"/>
  <c r="G28" i="21"/>
  <c r="I28" i="21" s="1"/>
  <c r="G27" i="21"/>
  <c r="I27" i="21" s="1"/>
  <c r="G26" i="21"/>
  <c r="I26" i="21" s="1"/>
  <c r="G25" i="21"/>
  <c r="I25" i="21" s="1"/>
  <c r="G24" i="21"/>
  <c r="I24" i="21" s="1"/>
  <c r="G23" i="21"/>
  <c r="I23" i="21" s="1"/>
  <c r="G22" i="21"/>
  <c r="I22" i="21" s="1"/>
  <c r="G21" i="21"/>
  <c r="I21" i="21" s="1"/>
  <c r="G20" i="21"/>
  <c r="I20" i="21" s="1"/>
  <c r="G19" i="21"/>
  <c r="I19" i="21" s="1"/>
  <c r="G18" i="21"/>
  <c r="I18" i="21" s="1"/>
  <c r="G17" i="21"/>
  <c r="I17" i="21" s="1"/>
  <c r="G16" i="21"/>
  <c r="I16" i="21" s="1"/>
  <c r="G15" i="21"/>
  <c r="I15" i="21" s="1"/>
  <c r="G14" i="21"/>
  <c r="I14" i="21" s="1"/>
  <c r="G13" i="21"/>
  <c r="I13" i="21" s="1"/>
  <c r="G12" i="21"/>
  <c r="I12" i="21" s="1"/>
  <c r="G11" i="21"/>
  <c r="I11" i="21" s="1"/>
  <c r="G10" i="21"/>
  <c r="I10" i="21" s="1"/>
  <c r="G9" i="21"/>
  <c r="I9" i="21" s="1"/>
  <c r="G8" i="21"/>
  <c r="I8" i="21" s="1"/>
  <c r="G7" i="21"/>
  <c r="I7" i="21" s="1"/>
  <c r="G6" i="21"/>
  <c r="I6" i="21" s="1"/>
  <c r="G5" i="21"/>
  <c r="I5" i="21" s="1"/>
  <c r="G4" i="21"/>
  <c r="N3" i="21" s="1"/>
  <c r="I3" i="21"/>
  <c r="G3" i="21"/>
  <c r="I120" i="20"/>
  <c r="G120" i="20"/>
  <c r="I119" i="20"/>
  <c r="G119" i="20"/>
  <c r="I118" i="20"/>
  <c r="G118" i="20"/>
  <c r="I117" i="20"/>
  <c r="G117" i="20"/>
  <c r="I116" i="20"/>
  <c r="G116" i="20"/>
  <c r="I115" i="20"/>
  <c r="G115" i="20"/>
  <c r="I114" i="20"/>
  <c r="G114" i="20"/>
  <c r="I113" i="20"/>
  <c r="G113" i="20"/>
  <c r="I112" i="20"/>
  <c r="G112" i="20"/>
  <c r="I111" i="20"/>
  <c r="G111" i="20"/>
  <c r="I110" i="20"/>
  <c r="G110" i="20"/>
  <c r="I109" i="20"/>
  <c r="G109" i="20"/>
  <c r="I108" i="20"/>
  <c r="G108" i="20"/>
  <c r="I107" i="20"/>
  <c r="G107" i="20"/>
  <c r="I106" i="20"/>
  <c r="G106" i="20"/>
  <c r="I105" i="20"/>
  <c r="G105" i="20"/>
  <c r="I104" i="20"/>
  <c r="G104" i="20"/>
  <c r="I103" i="20"/>
  <c r="G103" i="20"/>
  <c r="I102" i="20"/>
  <c r="G102" i="20"/>
  <c r="I101" i="20"/>
  <c r="G101" i="20"/>
  <c r="I100" i="20"/>
  <c r="G100" i="20"/>
  <c r="I99" i="20"/>
  <c r="G99" i="20"/>
  <c r="I98" i="20"/>
  <c r="G98" i="20"/>
  <c r="I97" i="20"/>
  <c r="G97" i="20"/>
  <c r="I96" i="20"/>
  <c r="G96" i="20"/>
  <c r="I95" i="20"/>
  <c r="G95" i="20"/>
  <c r="I94" i="20"/>
  <c r="G94" i="20"/>
  <c r="I93" i="20"/>
  <c r="G93" i="20"/>
  <c r="I92" i="20"/>
  <c r="G92" i="20"/>
  <c r="I91" i="20"/>
  <c r="G91" i="20"/>
  <c r="I90" i="20"/>
  <c r="G90" i="20"/>
  <c r="I89" i="20"/>
  <c r="G89" i="20"/>
  <c r="I88" i="20"/>
  <c r="G88" i="20"/>
  <c r="I87" i="20"/>
  <c r="G87" i="20"/>
  <c r="I86" i="20"/>
  <c r="G86" i="20"/>
  <c r="I85" i="20"/>
  <c r="G85" i="20"/>
  <c r="I84" i="20"/>
  <c r="G84" i="20"/>
  <c r="I83" i="20"/>
  <c r="G83" i="20"/>
  <c r="I82" i="20"/>
  <c r="G82" i="20"/>
  <c r="I81" i="20"/>
  <c r="G81" i="20"/>
  <c r="I80" i="20"/>
  <c r="G80" i="20"/>
  <c r="I79" i="20"/>
  <c r="G79" i="20"/>
  <c r="I78" i="20"/>
  <c r="G78" i="20"/>
  <c r="I77" i="20"/>
  <c r="G77" i="20"/>
  <c r="I76" i="20"/>
  <c r="G76" i="20"/>
  <c r="I75" i="20"/>
  <c r="G75" i="20"/>
  <c r="I74" i="20"/>
  <c r="G74" i="20"/>
  <c r="I73" i="20"/>
  <c r="G73" i="20"/>
  <c r="I72" i="20"/>
  <c r="G72" i="20"/>
  <c r="I71" i="20"/>
  <c r="G71" i="20"/>
  <c r="I70" i="20"/>
  <c r="G70" i="20"/>
  <c r="I69" i="20"/>
  <c r="G69" i="20"/>
  <c r="I68" i="20"/>
  <c r="G68" i="20"/>
  <c r="I67" i="20"/>
  <c r="G67" i="20"/>
  <c r="I66" i="20"/>
  <c r="G66" i="20"/>
  <c r="I65" i="20"/>
  <c r="G65" i="20"/>
  <c r="I64" i="20"/>
  <c r="G64" i="20"/>
  <c r="I63" i="20"/>
  <c r="G63" i="20"/>
  <c r="I62" i="20"/>
  <c r="G62" i="20"/>
  <c r="I61" i="20"/>
  <c r="G61" i="20"/>
  <c r="I60" i="20"/>
  <c r="G60" i="20"/>
  <c r="I59" i="20"/>
  <c r="G59" i="20"/>
  <c r="I58" i="20"/>
  <c r="G58" i="20"/>
  <c r="I57" i="20"/>
  <c r="G57" i="20"/>
  <c r="I56" i="20"/>
  <c r="G56" i="20"/>
  <c r="I55" i="20"/>
  <c r="G55" i="20"/>
  <c r="I54" i="20"/>
  <c r="G54" i="20"/>
  <c r="I53" i="20"/>
  <c r="G53" i="20"/>
  <c r="I52" i="20"/>
  <c r="G52" i="20"/>
  <c r="I51" i="20"/>
  <c r="G51" i="20"/>
  <c r="I50" i="20"/>
  <c r="G50" i="20"/>
  <c r="I49" i="20"/>
  <c r="G49" i="20"/>
  <c r="I48" i="20"/>
  <c r="G48" i="20"/>
  <c r="I47" i="20"/>
  <c r="G47" i="20"/>
  <c r="I46" i="20"/>
  <c r="G46" i="20"/>
  <c r="I45" i="20"/>
  <c r="G45" i="20"/>
  <c r="I44" i="20"/>
  <c r="G44" i="20"/>
  <c r="I43" i="20"/>
  <c r="G43" i="20"/>
  <c r="I42" i="20"/>
  <c r="G42" i="20"/>
  <c r="I41" i="20"/>
  <c r="G41" i="20"/>
  <c r="I40" i="20"/>
  <c r="G40" i="20"/>
  <c r="I39" i="20"/>
  <c r="G39" i="20"/>
  <c r="I38" i="20"/>
  <c r="G38" i="20"/>
  <c r="I37" i="20"/>
  <c r="G37" i="20"/>
  <c r="I36" i="20"/>
  <c r="G36" i="20"/>
  <c r="I35" i="20"/>
  <c r="G35" i="20"/>
  <c r="I34" i="20"/>
  <c r="G34" i="20"/>
  <c r="I33" i="20"/>
  <c r="G33" i="20"/>
  <c r="I32" i="20"/>
  <c r="G32" i="20"/>
  <c r="I31" i="20"/>
  <c r="G31" i="20"/>
  <c r="I30" i="20"/>
  <c r="G30" i="20"/>
  <c r="I29" i="20"/>
  <c r="G29" i="20"/>
  <c r="I28" i="20"/>
  <c r="G28" i="20"/>
  <c r="I27" i="20"/>
  <c r="G27" i="20"/>
  <c r="I26" i="20"/>
  <c r="G26" i="20"/>
  <c r="I25" i="20"/>
  <c r="G25" i="20"/>
  <c r="I24" i="20"/>
  <c r="G24" i="20"/>
  <c r="I23" i="20"/>
  <c r="G23" i="20"/>
  <c r="I22" i="20"/>
  <c r="G22" i="20"/>
  <c r="I21" i="20"/>
  <c r="G21" i="20"/>
  <c r="I20" i="20"/>
  <c r="G20" i="20"/>
  <c r="I19" i="20"/>
  <c r="G19" i="20"/>
  <c r="I18" i="20"/>
  <c r="G18" i="20"/>
  <c r="I17" i="20"/>
  <c r="G17" i="20"/>
  <c r="I16" i="20"/>
  <c r="G16" i="20"/>
  <c r="I15" i="20"/>
  <c r="G15" i="20"/>
  <c r="I14" i="20"/>
  <c r="G14" i="20"/>
  <c r="I13" i="20"/>
  <c r="G13" i="20"/>
  <c r="I12" i="20"/>
  <c r="G12" i="20"/>
  <c r="I11" i="20"/>
  <c r="G11" i="20"/>
  <c r="I10" i="20"/>
  <c r="G10" i="20"/>
  <c r="I9" i="20"/>
  <c r="G9" i="20"/>
  <c r="I8" i="20"/>
  <c r="G8" i="20"/>
  <c r="I7" i="20"/>
  <c r="G7" i="20"/>
  <c r="I6" i="20"/>
  <c r="G6" i="20"/>
  <c r="I5" i="20"/>
  <c r="G5" i="20"/>
  <c r="I4" i="20"/>
  <c r="G4" i="20"/>
  <c r="N3" i="20"/>
  <c r="G3" i="20"/>
  <c r="I3" i="20" s="1"/>
  <c r="G120" i="19"/>
  <c r="I120" i="19" s="1"/>
  <c r="G119" i="19"/>
  <c r="I119" i="19" s="1"/>
  <c r="G118" i="19"/>
  <c r="I118" i="19" s="1"/>
  <c r="G117" i="19"/>
  <c r="I117" i="19" s="1"/>
  <c r="G116" i="19"/>
  <c r="I116" i="19" s="1"/>
  <c r="G115" i="19"/>
  <c r="I115" i="19" s="1"/>
  <c r="G114" i="19"/>
  <c r="I114" i="19" s="1"/>
  <c r="G113" i="19"/>
  <c r="I113" i="19" s="1"/>
  <c r="G112" i="19"/>
  <c r="I112" i="19" s="1"/>
  <c r="G111" i="19"/>
  <c r="I111" i="19" s="1"/>
  <c r="G110" i="19"/>
  <c r="I110" i="19" s="1"/>
  <c r="G109" i="19"/>
  <c r="I109" i="19" s="1"/>
  <c r="G108" i="19"/>
  <c r="I108" i="19" s="1"/>
  <c r="G107" i="19"/>
  <c r="I107" i="19" s="1"/>
  <c r="G106" i="19"/>
  <c r="I106" i="19" s="1"/>
  <c r="G105" i="19"/>
  <c r="I105" i="19" s="1"/>
  <c r="G104" i="19"/>
  <c r="I104" i="19" s="1"/>
  <c r="G103" i="19"/>
  <c r="I103" i="19" s="1"/>
  <c r="G102" i="19"/>
  <c r="I102" i="19" s="1"/>
  <c r="G101" i="19"/>
  <c r="I101" i="19" s="1"/>
  <c r="G100" i="19"/>
  <c r="I100" i="19" s="1"/>
  <c r="G99" i="19"/>
  <c r="I99" i="19" s="1"/>
  <c r="G98" i="19"/>
  <c r="I98" i="19" s="1"/>
  <c r="G97" i="19"/>
  <c r="I97" i="19" s="1"/>
  <c r="G96" i="19"/>
  <c r="I96" i="19" s="1"/>
  <c r="G95" i="19"/>
  <c r="I95" i="19" s="1"/>
  <c r="G94" i="19"/>
  <c r="I94" i="19" s="1"/>
  <c r="G93" i="19"/>
  <c r="I93" i="19" s="1"/>
  <c r="G92" i="19"/>
  <c r="I92" i="19" s="1"/>
  <c r="G91" i="19"/>
  <c r="I91" i="19" s="1"/>
  <c r="G90" i="19"/>
  <c r="I90" i="19" s="1"/>
  <c r="G89" i="19"/>
  <c r="I89" i="19" s="1"/>
  <c r="G88" i="19"/>
  <c r="I88" i="19" s="1"/>
  <c r="G87" i="19"/>
  <c r="I87" i="19" s="1"/>
  <c r="G86" i="19"/>
  <c r="I86" i="19" s="1"/>
  <c r="G85" i="19"/>
  <c r="I85" i="19" s="1"/>
  <c r="G84" i="19"/>
  <c r="I84" i="19" s="1"/>
  <c r="G83" i="19"/>
  <c r="I83" i="19" s="1"/>
  <c r="G82" i="19"/>
  <c r="I82" i="19" s="1"/>
  <c r="G81" i="19"/>
  <c r="I81" i="19" s="1"/>
  <c r="G80" i="19"/>
  <c r="I80" i="19" s="1"/>
  <c r="G79" i="19"/>
  <c r="I79" i="19" s="1"/>
  <c r="G78" i="19"/>
  <c r="I78" i="19" s="1"/>
  <c r="G77" i="19"/>
  <c r="I77" i="19" s="1"/>
  <c r="G76" i="19"/>
  <c r="I76" i="19" s="1"/>
  <c r="G75" i="19"/>
  <c r="I75" i="19" s="1"/>
  <c r="G74" i="19"/>
  <c r="I74" i="19" s="1"/>
  <c r="G73" i="19"/>
  <c r="I73" i="19" s="1"/>
  <c r="G72" i="19"/>
  <c r="I72" i="19" s="1"/>
  <c r="G71" i="19"/>
  <c r="I71" i="19" s="1"/>
  <c r="I70" i="19"/>
  <c r="G70" i="19"/>
  <c r="I69" i="19"/>
  <c r="G69" i="19"/>
  <c r="I68" i="19"/>
  <c r="G68" i="19"/>
  <c r="I67" i="19"/>
  <c r="G67" i="19"/>
  <c r="I66" i="19"/>
  <c r="G66" i="19"/>
  <c r="I65" i="19"/>
  <c r="G65" i="19"/>
  <c r="I64" i="19"/>
  <c r="G64" i="19"/>
  <c r="I63" i="19"/>
  <c r="G63" i="19"/>
  <c r="I62" i="19"/>
  <c r="G62" i="19"/>
  <c r="I61" i="19"/>
  <c r="G61" i="19"/>
  <c r="I60" i="19"/>
  <c r="G60" i="19"/>
  <c r="I59" i="19"/>
  <c r="G59" i="19"/>
  <c r="I58" i="19"/>
  <c r="G58" i="19"/>
  <c r="I57" i="19"/>
  <c r="G57" i="19"/>
  <c r="I56" i="19"/>
  <c r="G56" i="19"/>
  <c r="I55" i="19"/>
  <c r="G55" i="19"/>
  <c r="I54" i="19"/>
  <c r="G54" i="19"/>
  <c r="I53" i="19"/>
  <c r="G53" i="19"/>
  <c r="I52" i="19"/>
  <c r="G52" i="19"/>
  <c r="I51" i="19"/>
  <c r="G51" i="19"/>
  <c r="I50" i="19"/>
  <c r="G50" i="19"/>
  <c r="I49" i="19"/>
  <c r="G49" i="19"/>
  <c r="I48" i="19"/>
  <c r="G48" i="19"/>
  <c r="I47" i="19"/>
  <c r="G47" i="19"/>
  <c r="I46" i="19"/>
  <c r="G46" i="19"/>
  <c r="I45" i="19"/>
  <c r="G45" i="19"/>
  <c r="I44" i="19"/>
  <c r="G44" i="19"/>
  <c r="I43" i="19"/>
  <c r="G43" i="19"/>
  <c r="I42" i="19"/>
  <c r="G42" i="19"/>
  <c r="I41" i="19"/>
  <c r="G41" i="19"/>
  <c r="I40" i="19"/>
  <c r="G40" i="19"/>
  <c r="I39" i="19"/>
  <c r="G39" i="19"/>
  <c r="I38" i="19"/>
  <c r="G38" i="19"/>
  <c r="I37" i="19"/>
  <c r="G37" i="19"/>
  <c r="I36" i="19"/>
  <c r="G36" i="19"/>
  <c r="I35" i="19"/>
  <c r="G35" i="19"/>
  <c r="I34" i="19"/>
  <c r="G34" i="19"/>
  <c r="I33" i="19"/>
  <c r="G33" i="19"/>
  <c r="I32" i="19"/>
  <c r="G32" i="19"/>
  <c r="I31" i="19"/>
  <c r="G31" i="19"/>
  <c r="I30" i="19"/>
  <c r="G30" i="19"/>
  <c r="I29" i="19"/>
  <c r="G29" i="19"/>
  <c r="I28" i="19"/>
  <c r="G28" i="19"/>
  <c r="I27" i="19"/>
  <c r="G27" i="19"/>
  <c r="I26" i="19"/>
  <c r="G26" i="19"/>
  <c r="I25" i="19"/>
  <c r="G25" i="19"/>
  <c r="I24" i="19"/>
  <c r="G24" i="19"/>
  <c r="I23" i="19"/>
  <c r="G23" i="19"/>
  <c r="I22" i="19"/>
  <c r="G22" i="19"/>
  <c r="I21" i="19"/>
  <c r="G21" i="19"/>
  <c r="I20" i="19"/>
  <c r="G20" i="19"/>
  <c r="I19" i="19"/>
  <c r="G19" i="19"/>
  <c r="I18" i="19"/>
  <c r="G18" i="19"/>
  <c r="I17" i="19"/>
  <c r="G17" i="19"/>
  <c r="I16" i="19"/>
  <c r="G16" i="19"/>
  <c r="I15" i="19"/>
  <c r="G15" i="19"/>
  <c r="I14" i="19"/>
  <c r="G14" i="19"/>
  <c r="I13" i="19"/>
  <c r="G13" i="19"/>
  <c r="I12" i="19"/>
  <c r="G12" i="19"/>
  <c r="I11" i="19"/>
  <c r="G11" i="19"/>
  <c r="I10" i="19"/>
  <c r="G10" i="19"/>
  <c r="I9" i="19"/>
  <c r="G9" i="19"/>
  <c r="I8" i="19"/>
  <c r="G8" i="19"/>
  <c r="I7" i="19"/>
  <c r="G7" i="19"/>
  <c r="I6" i="19"/>
  <c r="G6" i="19"/>
  <c r="I5" i="19"/>
  <c r="G5" i="19"/>
  <c r="I4" i="19"/>
  <c r="G4" i="19"/>
  <c r="G3" i="19"/>
  <c r="N3" i="19" s="1"/>
  <c r="G122" i="18"/>
  <c r="I122" i="18" s="1"/>
  <c r="G121" i="18"/>
  <c r="I121" i="18" s="1"/>
  <c r="G120" i="18"/>
  <c r="I120" i="18" s="1"/>
  <c r="G119" i="18"/>
  <c r="I119" i="18" s="1"/>
  <c r="G118" i="18"/>
  <c r="I118" i="18" s="1"/>
  <c r="G117" i="18"/>
  <c r="I117" i="18" s="1"/>
  <c r="G116" i="18"/>
  <c r="I116" i="18" s="1"/>
  <c r="G115" i="18"/>
  <c r="I115" i="18" s="1"/>
  <c r="G114" i="18"/>
  <c r="I114" i="18" s="1"/>
  <c r="G113" i="18"/>
  <c r="I113" i="18" s="1"/>
  <c r="G112" i="18"/>
  <c r="I112" i="18" s="1"/>
  <c r="G111" i="18"/>
  <c r="I111" i="18" s="1"/>
  <c r="G110" i="18"/>
  <c r="I110" i="18" s="1"/>
  <c r="G109" i="18"/>
  <c r="I109" i="18" s="1"/>
  <c r="G108" i="18"/>
  <c r="I108" i="18" s="1"/>
  <c r="G107" i="18"/>
  <c r="I107" i="18" s="1"/>
  <c r="G106" i="18"/>
  <c r="I106" i="18" s="1"/>
  <c r="G105" i="18"/>
  <c r="I105" i="18" s="1"/>
  <c r="G104" i="18"/>
  <c r="I104" i="18" s="1"/>
  <c r="G103" i="18"/>
  <c r="I103" i="18" s="1"/>
  <c r="G102" i="18"/>
  <c r="I102" i="18" s="1"/>
  <c r="G101" i="18"/>
  <c r="I101" i="18" s="1"/>
  <c r="G100" i="18"/>
  <c r="I100" i="18" s="1"/>
  <c r="G99" i="18"/>
  <c r="I99" i="18" s="1"/>
  <c r="G98" i="18"/>
  <c r="I98" i="18" s="1"/>
  <c r="G97" i="18"/>
  <c r="I97" i="18" s="1"/>
  <c r="G96" i="18"/>
  <c r="I96" i="18" s="1"/>
  <c r="G95" i="18"/>
  <c r="I95" i="18" s="1"/>
  <c r="G94" i="18"/>
  <c r="I94" i="18" s="1"/>
  <c r="G93" i="18"/>
  <c r="I93" i="18" s="1"/>
  <c r="G92" i="18"/>
  <c r="I92" i="18" s="1"/>
  <c r="G91" i="18"/>
  <c r="I91" i="18" s="1"/>
  <c r="G90" i="18"/>
  <c r="I90" i="18" s="1"/>
  <c r="G89" i="18"/>
  <c r="I89" i="18" s="1"/>
  <c r="G88" i="18"/>
  <c r="I88" i="18" s="1"/>
  <c r="G87" i="18"/>
  <c r="I87" i="18" s="1"/>
  <c r="G86" i="18"/>
  <c r="I86" i="18" s="1"/>
  <c r="G85" i="18"/>
  <c r="I85" i="18" s="1"/>
  <c r="G84" i="18"/>
  <c r="I84" i="18" s="1"/>
  <c r="G83" i="18"/>
  <c r="I83" i="18" s="1"/>
  <c r="G82" i="18"/>
  <c r="I82" i="18" s="1"/>
  <c r="G81" i="18"/>
  <c r="I81" i="18" s="1"/>
  <c r="G80" i="18"/>
  <c r="I80" i="18" s="1"/>
  <c r="G79" i="18"/>
  <c r="I79" i="18" s="1"/>
  <c r="G78" i="18"/>
  <c r="I78" i="18" s="1"/>
  <c r="G77" i="18"/>
  <c r="I77" i="18" s="1"/>
  <c r="G76" i="18"/>
  <c r="I76" i="18" s="1"/>
  <c r="G75" i="18"/>
  <c r="I75" i="18" s="1"/>
  <c r="G74" i="18"/>
  <c r="I74" i="18" s="1"/>
  <c r="G73" i="18"/>
  <c r="I73" i="18" s="1"/>
  <c r="G72" i="18"/>
  <c r="I72" i="18" s="1"/>
  <c r="G71" i="18"/>
  <c r="I71" i="18" s="1"/>
  <c r="G70" i="18"/>
  <c r="I70" i="18" s="1"/>
  <c r="G69" i="18"/>
  <c r="I69" i="18" s="1"/>
  <c r="G68" i="18"/>
  <c r="I68" i="18" s="1"/>
  <c r="G67" i="18"/>
  <c r="I67" i="18" s="1"/>
  <c r="G66" i="18"/>
  <c r="I66" i="18" s="1"/>
  <c r="G65" i="18"/>
  <c r="I65" i="18" s="1"/>
  <c r="G64" i="18"/>
  <c r="I64" i="18" s="1"/>
  <c r="G63" i="18"/>
  <c r="I63" i="18" s="1"/>
  <c r="G62" i="18"/>
  <c r="I62" i="18" s="1"/>
  <c r="G61" i="18"/>
  <c r="I61" i="18" s="1"/>
  <c r="G60" i="18"/>
  <c r="I60" i="18" s="1"/>
  <c r="G59" i="18"/>
  <c r="I59" i="18" s="1"/>
  <c r="G58" i="18"/>
  <c r="I58" i="18" s="1"/>
  <c r="G57" i="18"/>
  <c r="I57" i="18" s="1"/>
  <c r="G56" i="18"/>
  <c r="I56" i="18" s="1"/>
  <c r="G55" i="18"/>
  <c r="I55" i="18" s="1"/>
  <c r="G54" i="18"/>
  <c r="I54" i="18" s="1"/>
  <c r="G53" i="18"/>
  <c r="I53" i="18" s="1"/>
  <c r="G52" i="18"/>
  <c r="I52" i="18" s="1"/>
  <c r="G51" i="18"/>
  <c r="I51" i="18" s="1"/>
  <c r="G50" i="18"/>
  <c r="I50" i="18" s="1"/>
  <c r="G49" i="18"/>
  <c r="I49" i="18" s="1"/>
  <c r="G48" i="18"/>
  <c r="I48" i="18" s="1"/>
  <c r="G47" i="18"/>
  <c r="I47" i="18" s="1"/>
  <c r="G46" i="18"/>
  <c r="I46" i="18" s="1"/>
  <c r="G45" i="18"/>
  <c r="I45" i="18" s="1"/>
  <c r="G44" i="18"/>
  <c r="I44" i="18" s="1"/>
  <c r="G43" i="18"/>
  <c r="I43" i="18" s="1"/>
  <c r="G42" i="18"/>
  <c r="I42" i="18" s="1"/>
  <c r="G41" i="18"/>
  <c r="I41" i="18" s="1"/>
  <c r="G40" i="18"/>
  <c r="I40" i="18" s="1"/>
  <c r="G39" i="18"/>
  <c r="I39" i="18" s="1"/>
  <c r="G38" i="18"/>
  <c r="I38" i="18" s="1"/>
  <c r="G37" i="18"/>
  <c r="I37" i="18" s="1"/>
  <c r="G36" i="18"/>
  <c r="I36" i="18" s="1"/>
  <c r="G35" i="18"/>
  <c r="I35" i="18" s="1"/>
  <c r="G34" i="18"/>
  <c r="I34" i="18" s="1"/>
  <c r="G33" i="18"/>
  <c r="I33" i="18" s="1"/>
  <c r="G32" i="18"/>
  <c r="I32" i="18" s="1"/>
  <c r="G31" i="18"/>
  <c r="I31" i="18" s="1"/>
  <c r="G30" i="18"/>
  <c r="I30" i="18" s="1"/>
  <c r="G29" i="18"/>
  <c r="I29" i="18" s="1"/>
  <c r="G28" i="18"/>
  <c r="I28" i="18" s="1"/>
  <c r="G27" i="18"/>
  <c r="I27" i="18" s="1"/>
  <c r="G26" i="18"/>
  <c r="I26" i="18" s="1"/>
  <c r="G25" i="18"/>
  <c r="I25" i="18" s="1"/>
  <c r="G24" i="18"/>
  <c r="I24" i="18" s="1"/>
  <c r="G23" i="18"/>
  <c r="I23" i="18" s="1"/>
  <c r="G22" i="18"/>
  <c r="I22" i="18" s="1"/>
  <c r="G21" i="18"/>
  <c r="I21" i="18" s="1"/>
  <c r="G20" i="18"/>
  <c r="I20" i="18" s="1"/>
  <c r="G19" i="18"/>
  <c r="I19" i="18" s="1"/>
  <c r="G18" i="18"/>
  <c r="I18" i="18" s="1"/>
  <c r="G17" i="18"/>
  <c r="I17" i="18" s="1"/>
  <c r="G16" i="18"/>
  <c r="I16" i="18" s="1"/>
  <c r="G15" i="18"/>
  <c r="I15" i="18" s="1"/>
  <c r="G14" i="18"/>
  <c r="I14" i="18" s="1"/>
  <c r="G13" i="18"/>
  <c r="I13" i="18" s="1"/>
  <c r="G12" i="18"/>
  <c r="I12" i="18" s="1"/>
  <c r="G11" i="18"/>
  <c r="I11" i="18" s="1"/>
  <c r="G10" i="18"/>
  <c r="I10" i="18" s="1"/>
  <c r="G9" i="18"/>
  <c r="I9" i="18" s="1"/>
  <c r="G8" i="18"/>
  <c r="I8" i="18" s="1"/>
  <c r="G7" i="18"/>
  <c r="I7" i="18" s="1"/>
  <c r="G6" i="18"/>
  <c r="I6" i="18" s="1"/>
  <c r="G5" i="18"/>
  <c r="I5" i="18" s="1"/>
  <c r="G4" i="18"/>
  <c r="I4" i="18" s="1"/>
  <c r="I3" i="18"/>
  <c r="G3" i="18"/>
  <c r="N3" i="18" s="1"/>
  <c r="I119" i="17"/>
  <c r="G119" i="17"/>
  <c r="I118" i="17"/>
  <c r="G118" i="17"/>
  <c r="I117" i="17"/>
  <c r="G117" i="17"/>
  <c r="I116" i="17"/>
  <c r="G116" i="17"/>
  <c r="I115" i="17"/>
  <c r="G115" i="17"/>
  <c r="I114" i="17"/>
  <c r="G114" i="17"/>
  <c r="I113" i="17"/>
  <c r="G113" i="17"/>
  <c r="I112" i="17"/>
  <c r="G112" i="17"/>
  <c r="I111" i="17"/>
  <c r="G111" i="17"/>
  <c r="I110" i="17"/>
  <c r="G110" i="17"/>
  <c r="I109" i="17"/>
  <c r="G109" i="17"/>
  <c r="I108" i="17"/>
  <c r="G108" i="17"/>
  <c r="I107" i="17"/>
  <c r="G107" i="17"/>
  <c r="I106" i="17"/>
  <c r="G106" i="17"/>
  <c r="I105" i="17"/>
  <c r="G105" i="17"/>
  <c r="I104" i="17"/>
  <c r="G104" i="17"/>
  <c r="I103" i="17"/>
  <c r="G103" i="17"/>
  <c r="I102" i="17"/>
  <c r="G102" i="17"/>
  <c r="I101" i="17"/>
  <c r="G101" i="17"/>
  <c r="I100" i="17"/>
  <c r="G100" i="17"/>
  <c r="I99" i="17"/>
  <c r="G99" i="17"/>
  <c r="I98" i="17"/>
  <c r="G98" i="17"/>
  <c r="I97" i="17"/>
  <c r="G97" i="17"/>
  <c r="I96" i="17"/>
  <c r="G96" i="17"/>
  <c r="I95" i="17"/>
  <c r="G95" i="17"/>
  <c r="I94" i="17"/>
  <c r="G94" i="17"/>
  <c r="I93" i="17"/>
  <c r="G93" i="17"/>
  <c r="I92" i="17"/>
  <c r="G92" i="17"/>
  <c r="I91" i="17"/>
  <c r="G91" i="17"/>
  <c r="I90" i="17"/>
  <c r="G90" i="17"/>
  <c r="I89" i="17"/>
  <c r="G89" i="17"/>
  <c r="I88" i="17"/>
  <c r="G88" i="17"/>
  <c r="I87" i="17"/>
  <c r="G87" i="17"/>
  <c r="I86" i="17"/>
  <c r="G86" i="17"/>
  <c r="I85" i="17"/>
  <c r="G85" i="17"/>
  <c r="I84" i="17"/>
  <c r="G84" i="17"/>
  <c r="I83" i="17"/>
  <c r="G83" i="17"/>
  <c r="I82" i="17"/>
  <c r="G82" i="17"/>
  <c r="I81" i="17"/>
  <c r="G81" i="17"/>
  <c r="I80" i="17"/>
  <c r="G80" i="17"/>
  <c r="I79" i="17"/>
  <c r="G79" i="17"/>
  <c r="I78" i="17"/>
  <c r="G78" i="17"/>
  <c r="I77" i="17"/>
  <c r="G77" i="17"/>
  <c r="I76" i="17"/>
  <c r="G76" i="17"/>
  <c r="I75" i="17"/>
  <c r="G75" i="17"/>
  <c r="I74" i="17"/>
  <c r="G74" i="17"/>
  <c r="I73" i="17"/>
  <c r="G73" i="17"/>
  <c r="I72" i="17"/>
  <c r="G72" i="17"/>
  <c r="I71" i="17"/>
  <c r="G71" i="17"/>
  <c r="I70" i="17"/>
  <c r="G70" i="17"/>
  <c r="I69" i="17"/>
  <c r="G69" i="17"/>
  <c r="I68" i="17"/>
  <c r="G68" i="17"/>
  <c r="I67" i="17"/>
  <c r="G67" i="17"/>
  <c r="I66" i="17"/>
  <c r="G66" i="17"/>
  <c r="I65" i="17"/>
  <c r="G65" i="17"/>
  <c r="I64" i="17"/>
  <c r="G64" i="17"/>
  <c r="I63" i="17"/>
  <c r="G63" i="17"/>
  <c r="I62" i="17"/>
  <c r="G62" i="17"/>
  <c r="I61" i="17"/>
  <c r="G61" i="17"/>
  <c r="I60" i="17"/>
  <c r="G60" i="17"/>
  <c r="I59" i="17"/>
  <c r="G59" i="17"/>
  <c r="I58" i="17"/>
  <c r="G58" i="17"/>
  <c r="I57" i="17"/>
  <c r="G57" i="17"/>
  <c r="I56" i="17"/>
  <c r="G56" i="17"/>
  <c r="I55" i="17"/>
  <c r="G55" i="17"/>
  <c r="I54" i="17"/>
  <c r="G54" i="17"/>
  <c r="I53" i="17"/>
  <c r="G53" i="17"/>
  <c r="I52" i="17"/>
  <c r="G52" i="17"/>
  <c r="I51" i="17"/>
  <c r="G51" i="17"/>
  <c r="I50" i="17"/>
  <c r="G50" i="17"/>
  <c r="I49" i="17"/>
  <c r="G49" i="17"/>
  <c r="I48" i="17"/>
  <c r="G48" i="17"/>
  <c r="I47" i="17"/>
  <c r="G47" i="17"/>
  <c r="I46" i="17"/>
  <c r="G46" i="17"/>
  <c r="I45" i="17"/>
  <c r="G45" i="17"/>
  <c r="I44" i="17"/>
  <c r="G44" i="17"/>
  <c r="I43" i="17"/>
  <c r="G43" i="17"/>
  <c r="I42" i="17"/>
  <c r="G42" i="17"/>
  <c r="I41" i="17"/>
  <c r="G41" i="17"/>
  <c r="I40" i="17"/>
  <c r="G40" i="17"/>
  <c r="I39" i="17"/>
  <c r="G39" i="17"/>
  <c r="I38" i="17"/>
  <c r="G38" i="17"/>
  <c r="I37" i="17"/>
  <c r="G37" i="17"/>
  <c r="I36" i="17"/>
  <c r="G36" i="17"/>
  <c r="I35" i="17"/>
  <c r="G35" i="17"/>
  <c r="I34" i="17"/>
  <c r="G34" i="17"/>
  <c r="I33" i="17"/>
  <c r="G33" i="17"/>
  <c r="I32" i="17"/>
  <c r="G32" i="17"/>
  <c r="I31" i="17"/>
  <c r="G31" i="17"/>
  <c r="I30" i="17"/>
  <c r="G30" i="17"/>
  <c r="I29" i="17"/>
  <c r="G29" i="17"/>
  <c r="I28" i="17"/>
  <c r="G28" i="17"/>
  <c r="I27" i="17"/>
  <c r="G27" i="17"/>
  <c r="I26" i="17"/>
  <c r="G26" i="17"/>
  <c r="I25" i="17"/>
  <c r="G25" i="17"/>
  <c r="I24" i="17"/>
  <c r="G24" i="17"/>
  <c r="I23" i="17"/>
  <c r="G23" i="17"/>
  <c r="I22" i="17"/>
  <c r="G22" i="17"/>
  <c r="I21" i="17"/>
  <c r="G21" i="17"/>
  <c r="I20" i="17"/>
  <c r="G20" i="17"/>
  <c r="I19" i="17"/>
  <c r="G19" i="17"/>
  <c r="I18" i="17"/>
  <c r="G18" i="17"/>
  <c r="I17" i="17"/>
  <c r="G17" i="17"/>
  <c r="I16" i="17"/>
  <c r="G16" i="17"/>
  <c r="I15" i="17"/>
  <c r="G15" i="17"/>
  <c r="I14" i="17"/>
  <c r="G14" i="17"/>
  <c r="I13" i="17"/>
  <c r="G13" i="17"/>
  <c r="I12" i="17"/>
  <c r="G12" i="17"/>
  <c r="I11" i="17"/>
  <c r="G11" i="17"/>
  <c r="I10" i="17"/>
  <c r="G10" i="17"/>
  <c r="I9" i="17"/>
  <c r="G9" i="17"/>
  <c r="I8" i="17"/>
  <c r="G8" i="17"/>
  <c r="I7" i="17"/>
  <c r="G7" i="17"/>
  <c r="I6" i="17"/>
  <c r="G6" i="17"/>
  <c r="I5" i="17"/>
  <c r="G5" i="17"/>
  <c r="I4" i="17"/>
  <c r="G4" i="17"/>
  <c r="G3" i="17"/>
  <c r="N3" i="17" s="1"/>
  <c r="I3" i="17" l="1"/>
  <c r="I3" i="19"/>
  <c r="I4" i="21"/>
  <c r="I3" i="3"/>
  <c r="G3" i="3" l="1"/>
  <c r="AD5" i="2" l="1"/>
  <c r="G4" i="4" l="1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3" i="4"/>
  <c r="I4" i="4" l="1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3" i="4"/>
  <c r="G4" i="3"/>
  <c r="I4" i="3" s="1"/>
  <c r="G5" i="3"/>
  <c r="I5" i="3" s="1"/>
  <c r="G6" i="3"/>
  <c r="I6" i="3" s="1"/>
  <c r="G7" i="3"/>
  <c r="I7" i="3" s="1"/>
  <c r="G8" i="3"/>
  <c r="I8" i="3" s="1"/>
  <c r="G9" i="3"/>
  <c r="I9" i="3" s="1"/>
  <c r="G10" i="3"/>
  <c r="I10" i="3" s="1"/>
  <c r="G11" i="3"/>
  <c r="I11" i="3" s="1"/>
  <c r="G12" i="3"/>
  <c r="I12" i="3" s="1"/>
  <c r="G13" i="3"/>
  <c r="I13" i="3" s="1"/>
  <c r="G14" i="3"/>
  <c r="I14" i="3" s="1"/>
  <c r="G15" i="3"/>
  <c r="I15" i="3" s="1"/>
  <c r="G16" i="3"/>
  <c r="I16" i="3" s="1"/>
  <c r="G17" i="3"/>
  <c r="I17" i="3" s="1"/>
  <c r="G18" i="3"/>
  <c r="I18" i="3" s="1"/>
  <c r="G19" i="3"/>
  <c r="I19" i="3" s="1"/>
  <c r="G20" i="3"/>
  <c r="I20" i="3" s="1"/>
  <c r="G21" i="3"/>
  <c r="I21" i="3" s="1"/>
  <c r="G22" i="3"/>
  <c r="I22" i="3" s="1"/>
  <c r="G23" i="3"/>
  <c r="I23" i="3" s="1"/>
  <c r="H23" i="3" l="1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N3" i="3"/>
  <c r="N3" i="4" l="1"/>
  <c r="H3" i="3"/>
  <c r="AH3" i="2" l="1"/>
  <c r="AI3" i="2"/>
  <c r="AJ3" i="2" s="1"/>
  <c r="AK3" i="2" l="1"/>
  <c r="AL3" i="2" s="1"/>
  <c r="E12" i="2"/>
  <c r="E13" i="2" s="1"/>
  <c r="E14" i="2" s="1"/>
  <c r="E15" i="2" s="1"/>
  <c r="E16" i="2" s="1"/>
  <c r="E17" i="2" s="1"/>
  <c r="AI4" i="2"/>
  <c r="AD3" i="2" l="1"/>
  <c r="AD4" i="2" s="1"/>
  <c r="AI5" i="2"/>
  <c r="AJ4" i="2"/>
  <c r="AK4" i="2" s="1"/>
  <c r="AL4" i="2" s="1"/>
  <c r="AJ5" i="2" l="1"/>
  <c r="AK5" i="2" s="1"/>
  <c r="AL5" i="2" s="1"/>
  <c r="AI6" i="2"/>
  <c r="AJ6" i="2" l="1"/>
  <c r="AK6" i="2" s="1"/>
  <c r="AL6" i="2" s="1"/>
  <c r="AI7" i="2"/>
  <c r="AJ7" i="2" l="1"/>
  <c r="AK7" i="2" s="1"/>
  <c r="AL7" i="2" s="1"/>
  <c r="AM3" i="2" s="1"/>
  <c r="AI8" i="2"/>
  <c r="AJ8" i="2" l="1"/>
  <c r="AK8" i="2" s="1"/>
  <c r="AL8" i="2" s="1"/>
  <c r="AI9" i="2"/>
  <c r="AI10" i="2" l="1"/>
  <c r="AJ9" i="2"/>
  <c r="AK9" i="2" s="1"/>
  <c r="AL9" i="2" s="1"/>
  <c r="AJ10" i="2" l="1"/>
  <c r="AI11" i="2"/>
  <c r="AK10" i="2" l="1"/>
  <c r="AJ11" i="2"/>
  <c r="AI12" i="2"/>
  <c r="AK11" i="2" l="1"/>
  <c r="AJ12" i="2"/>
  <c r="AI13" i="2"/>
  <c r="AL10" i="2"/>
  <c r="AJ13" i="2" l="1"/>
  <c r="AK13" i="2" s="1"/>
  <c r="AI14" i="2"/>
  <c r="AK12" i="2"/>
  <c r="AL11" i="2"/>
  <c r="AL13" i="2" l="1"/>
  <c r="AL12" i="2"/>
  <c r="AJ14" i="2"/>
  <c r="AK14" i="2" s="1"/>
  <c r="AI15" i="2"/>
  <c r="AL14" i="2" l="1"/>
  <c r="AJ15" i="2"/>
  <c r="AK15" i="2" s="1"/>
  <c r="AL15" i="2" s="1"/>
  <c r="AI16" i="2"/>
  <c r="AJ16" i="2" l="1"/>
  <c r="AK16" i="2" s="1"/>
  <c r="AL16" i="2" s="1"/>
  <c r="AI17" i="2"/>
  <c r="AJ17" i="2" l="1"/>
  <c r="AK17" i="2" s="1"/>
  <c r="AL17" i="2" s="1"/>
  <c r="AI18" i="2"/>
  <c r="AJ18" i="2" l="1"/>
  <c r="AK18" i="2" s="1"/>
  <c r="AL18" i="2" s="1"/>
  <c r="AI19" i="2"/>
  <c r="AJ19" i="2" l="1"/>
  <c r="AK19" i="2" s="1"/>
  <c r="AL19" i="2" s="1"/>
  <c r="AI20" i="2"/>
  <c r="AJ20" i="2" l="1"/>
  <c r="AK20" i="2" s="1"/>
  <c r="AL20" i="2" s="1"/>
  <c r="AI21" i="2"/>
  <c r="AJ21" i="2" l="1"/>
  <c r="AK21" i="2" s="1"/>
  <c r="AL21" i="2" s="1"/>
  <c r="AI22" i="2"/>
  <c r="AJ22" i="2" l="1"/>
  <c r="AK22" i="2" s="1"/>
  <c r="AL22" i="2" s="1"/>
  <c r="AI23" i="2"/>
  <c r="AJ23" i="2" l="1"/>
  <c r="AK23" i="2" s="1"/>
  <c r="AL23" i="2" s="1"/>
  <c r="AI24" i="2"/>
  <c r="AJ24" i="2" l="1"/>
  <c r="AK24" i="2" s="1"/>
  <c r="AL24" i="2" s="1"/>
</calcChain>
</file>

<file path=xl/sharedStrings.xml><?xml version="1.0" encoding="utf-8"?>
<sst xmlns="http://schemas.openxmlformats.org/spreadsheetml/2006/main" count="847" uniqueCount="738">
  <si>
    <t>eps</t>
  </si>
  <si>
    <t>DAIKIN_FW_</t>
  </si>
  <si>
    <t>KORADO_Radik</t>
  </si>
  <si>
    <t>LMTD</t>
  </si>
  <si>
    <t>fw</t>
  </si>
  <si>
    <t>LMTD_n</t>
  </si>
  <si>
    <t>UAmax</t>
  </si>
  <si>
    <t>UA</t>
  </si>
  <si>
    <t>Tso</t>
  </si>
  <si>
    <t>Tpi</t>
  </si>
  <si>
    <t>f_w_prim</t>
  </si>
  <si>
    <t>Chosen list</t>
  </si>
  <si>
    <t>FCU List</t>
  </si>
  <si>
    <t>n</t>
  </si>
  <si>
    <t>Index</t>
  </si>
  <si>
    <t>Twi</t>
  </si>
  <si>
    <t>Two</t>
  </si>
  <si>
    <t>Tai</t>
  </si>
  <si>
    <t>Q</t>
  </si>
  <si>
    <t>Typ</t>
  </si>
  <si>
    <t>H [mm]</t>
  </si>
  <si>
    <t>Počet</t>
  </si>
  <si>
    <t>Sort UA</t>
  </si>
  <si>
    <t>Sort Index</t>
  </si>
  <si>
    <t>Q sort</t>
  </si>
  <si>
    <t>10 (VK)</t>
  </si>
  <si>
    <t>11 (VK)</t>
  </si>
  <si>
    <t>20 (VK)</t>
  </si>
  <si>
    <t>21 (VK)</t>
  </si>
  <si>
    <t>FWM01DF</t>
  </si>
  <si>
    <t>UA list asc</t>
  </si>
  <si>
    <t>FWM02DF</t>
  </si>
  <si>
    <t>FWM03DF</t>
  </si>
  <si>
    <t>FWM04DF</t>
  </si>
  <si>
    <t>FWM06DF</t>
  </si>
  <si>
    <t>FWM08DF</t>
  </si>
  <si>
    <t>FWM10DF</t>
  </si>
  <si>
    <t>FWM01DT</t>
  </si>
  <si>
    <t>FWM02DT</t>
  </si>
  <si>
    <t>FWM03DT</t>
  </si>
  <si>
    <t>FWM04DT</t>
  </si>
  <si>
    <t>FWM06DT</t>
  </si>
  <si>
    <t>FWM08DT</t>
  </si>
  <si>
    <t>FWM10DT</t>
  </si>
  <si>
    <t>FWD04AT</t>
  </si>
  <si>
    <t>FWD06AT</t>
  </si>
  <si>
    <t>FWD08AT</t>
  </si>
  <si>
    <t>FWD10AT</t>
  </si>
  <si>
    <t>FWD12AT</t>
  </si>
  <si>
    <t>FWD16AT</t>
  </si>
  <si>
    <t>FWD18AT</t>
  </si>
  <si>
    <t>FWD04AF</t>
  </si>
  <si>
    <t>FWD06AF</t>
  </si>
  <si>
    <t>FWD08AF</t>
  </si>
  <si>
    <t>FWD10AF</t>
  </si>
  <si>
    <t>FWD12AF</t>
  </si>
  <si>
    <t>FWD16AF</t>
  </si>
  <si>
    <t>FWD18AF</t>
  </si>
  <si>
    <t>FWB02BT</t>
  </si>
  <si>
    <t>FWB04BT</t>
  </si>
  <si>
    <t>FWB05BT</t>
  </si>
  <si>
    <t>FWB06BT</t>
  </si>
  <si>
    <t>FWB07BT</t>
  </si>
  <si>
    <t>FWB08BT</t>
  </si>
  <si>
    <t>FWB09BT</t>
  </si>
  <si>
    <t>FWB10BT</t>
  </si>
  <si>
    <t>c</t>
  </si>
  <si>
    <t>t1 [°C]</t>
  </si>
  <si>
    <t>t2 [°C]</t>
  </si>
  <si>
    <t>ti [°C]</t>
  </si>
  <si>
    <t>Q [W]</t>
  </si>
  <si>
    <t>dt_n [K]</t>
  </si>
  <si>
    <t>Inlet water temperature Twi [°C]:</t>
  </si>
  <si>
    <t>Return water temperature Two [°C]:</t>
  </si>
  <si>
    <t>Room air temperature Tai [°C]:</t>
  </si>
  <si>
    <t>Choose catalogue list:</t>
  </si>
  <si>
    <t>Required heat flows of radiators Q [W]:</t>
  </si>
  <si>
    <t>Specific heat capacity c_p [J/kg/K]</t>
  </si>
  <si>
    <t>Heat exchanger coefficient n</t>
  </si>
  <si>
    <t>User inputs</t>
  </si>
  <si>
    <t>System scheme</t>
  </si>
  <si>
    <t>inlet water temperature</t>
  </si>
  <si>
    <t>return water temperature</t>
  </si>
  <si>
    <t>room temperature</t>
  </si>
  <si>
    <t>required heat flows</t>
  </si>
  <si>
    <t>nominal heat flows</t>
  </si>
  <si>
    <t>Name</t>
  </si>
  <si>
    <t>Lx300</t>
  </si>
  <si>
    <t>Lx400</t>
  </si>
  <si>
    <t>Lx500</t>
  </si>
  <si>
    <t>Lx600</t>
  </si>
  <si>
    <t>Lx700</t>
  </si>
  <si>
    <t>Lx900</t>
  </si>
  <si>
    <t>HX count</t>
  </si>
  <si>
    <t>VKM8_500x300_Typ_10</t>
  </si>
  <si>
    <t>VKM8_500x300_Typ_11</t>
  </si>
  <si>
    <t>VKM8_600x300_Typ_10</t>
  </si>
  <si>
    <t>VKM8_600x300_Typ_11</t>
  </si>
  <si>
    <t>VKM8_700x300_Typ_10</t>
  </si>
  <si>
    <t>VKM8_700x300_Typ_11</t>
  </si>
  <si>
    <t>VKM8_800x300_Typ_10</t>
  </si>
  <si>
    <t>VKM8_800x300_Typ_11</t>
  </si>
  <si>
    <t>VKM8_800x300_Typ_20</t>
  </si>
  <si>
    <t>VKM8_900x300_Typ_10</t>
  </si>
  <si>
    <t>VKM8_900x300_Typ_11</t>
  </si>
  <si>
    <t>VKM8_900x300_Typ_20</t>
  </si>
  <si>
    <t>VKM8_1000x300_Typ_10</t>
  </si>
  <si>
    <t>VKM8_1000x300_Typ_11</t>
  </si>
  <si>
    <t>VKM8_1000x300_Typ_20</t>
  </si>
  <si>
    <t>VKM8_1100x300_Typ_10</t>
  </si>
  <si>
    <t>VKM8_1100x300_Typ_11</t>
  </si>
  <si>
    <t>VKM8_1100x300_Typ_20</t>
  </si>
  <si>
    <t>VKM8_1200x300_Typ_10</t>
  </si>
  <si>
    <t>VKM8_1200x300_Typ_11</t>
  </si>
  <si>
    <t>VKM8_1200x300_Typ_20</t>
  </si>
  <si>
    <t>VKM8_1400x300_Typ_10</t>
  </si>
  <si>
    <t>VKM8_1400x300_Typ_11</t>
  </si>
  <si>
    <t>VKM8_1400x300_Typ_20</t>
  </si>
  <si>
    <t>VKM8_1600x300_Typ_10</t>
  </si>
  <si>
    <t>VKM8_1600x300_Typ_11</t>
  </si>
  <si>
    <t>VKM8_1600x300_Typ_20</t>
  </si>
  <si>
    <t>VKM8_1800x300_Typ_10</t>
  </si>
  <si>
    <t>VKM8_1800x300_Typ_11</t>
  </si>
  <si>
    <t>VKM8_1800x300_Typ_20</t>
  </si>
  <si>
    <t>VKM8_2000x300_Typ_10</t>
  </si>
  <si>
    <t>VKM8_2000x300_Typ_11</t>
  </si>
  <si>
    <t>VKM8_2000x300_Typ_20</t>
  </si>
  <si>
    <t>VKM8_2300x300_Typ_11</t>
  </si>
  <si>
    <t>VKM8_2300x300_Typ_20</t>
  </si>
  <si>
    <t>VKM8_2600x300_Typ_11</t>
  </si>
  <si>
    <t>VKM8_2600x300_Typ_20</t>
  </si>
  <si>
    <t>VKM8_3000x300_Typ_11</t>
  </si>
  <si>
    <t>VKM8_3000x300_Typ_20</t>
  </si>
  <si>
    <t>PLAN_LINE_400x300_Typ_11</t>
  </si>
  <si>
    <t>PLAN_LINE_400x300_Typ_21</t>
  </si>
  <si>
    <t>PLAN_LINE_500x300_Typ_11</t>
  </si>
  <si>
    <t>PLAN_LINE_500x300_Typ_21</t>
  </si>
  <si>
    <t>PLAN_LINE_600x300_Typ_11</t>
  </si>
  <si>
    <t>PLAN_LINE_600x300_Typ_21</t>
  </si>
  <si>
    <t>PLAN_LINE_700x300_Typ_11</t>
  </si>
  <si>
    <t>PLAN_LINE_700x300_Typ_21</t>
  </si>
  <si>
    <t>PLAN_LINE_800x300_Typ_11</t>
  </si>
  <si>
    <t>PLAN_LINE_800x300_Typ_21</t>
  </si>
  <si>
    <t>PLAN_LINE_900x300_Typ_11</t>
  </si>
  <si>
    <t>PLAN_LINE_900x300_Typ_21</t>
  </si>
  <si>
    <t>PLAN_LINE_1000x300_Typ_11</t>
  </si>
  <si>
    <t>PLAN_LINE_1000x300_Typ_21</t>
  </si>
  <si>
    <t>PLAN_LINE_1100x300_Typ_11</t>
  </si>
  <si>
    <t>PLAN_LINE_1100x300_Typ_21</t>
  </si>
  <si>
    <t>PLAN_LINE_1200x300_Typ_11</t>
  </si>
  <si>
    <t>PLAN_LINE_1200x300_Typ_21</t>
  </si>
  <si>
    <t>PLAN_LINE_1400x300_Typ_11</t>
  </si>
  <si>
    <t>PLAN_LINE_1400x300_Typ_21</t>
  </si>
  <si>
    <t>PLAN_LINE_1600x300_Typ_11</t>
  </si>
  <si>
    <t>PLAN_LINE_1600x300_Typ_21</t>
  </si>
  <si>
    <t>PLAN_LINE_1800x300_Typ_11</t>
  </si>
  <si>
    <t>PLAN_LINE_1800x300_Typ_21</t>
  </si>
  <si>
    <t>PLAN_LINE_2000x300_Typ_11</t>
  </si>
  <si>
    <t>PLAN_LINE_2000x300_Typ_21</t>
  </si>
  <si>
    <t>PLAN22_LINE33_400x300_Typ_22</t>
  </si>
  <si>
    <t>PLAN22_LINE33_400x300_Typ_33</t>
  </si>
  <si>
    <t>PLAN22_LINE33_500x300_Typ_22</t>
  </si>
  <si>
    <t>PLAN22_LINE33_500x300_Typ_33</t>
  </si>
  <si>
    <t>PLAN22_LINE33_600x300_Typ_22</t>
  </si>
  <si>
    <t>PLAN22_LINE33_600x300_Typ_33</t>
  </si>
  <si>
    <t>PLAN22_LINE33_700x300_Typ_22</t>
  </si>
  <si>
    <t>PLAN22_LINE33_700x300_Typ_33</t>
  </si>
  <si>
    <t>PLAN22_LINE33_800x300_Typ_22</t>
  </si>
  <si>
    <t>PLAN22_LINE33_800x300_Typ_33</t>
  </si>
  <si>
    <t>PLAN22_LINE33_900x300_Typ_22</t>
  </si>
  <si>
    <t>PLAN22_LINE33_900x300_Typ_33</t>
  </si>
  <si>
    <t>PLAN22_LINE33_1000x300_Typ_22</t>
  </si>
  <si>
    <t>PLAN22_LINE33_1000x300_Typ_33</t>
  </si>
  <si>
    <t>PLAN22_LINE33_1100x300_Typ_22</t>
  </si>
  <si>
    <t>PLAN22_LINE33_1100x300_Typ_33</t>
  </si>
  <si>
    <t>PLAN22_LINE33_1200x300_Typ_22</t>
  </si>
  <si>
    <t>PLAN22_LINE33_1200x300_Typ_33</t>
  </si>
  <si>
    <t>PLAN22_LINE33_1400x300_Typ_22</t>
  </si>
  <si>
    <t>PLAN22_LINE33_1400x300_Typ_33</t>
  </si>
  <si>
    <t>PLAN22_LINE33_1600x300_Typ_22</t>
  </si>
  <si>
    <t>PLAN22_LINE33_1600x300_Typ_33</t>
  </si>
  <si>
    <t>PLAN22_LINE33_1800x300_Typ_22</t>
  </si>
  <si>
    <t>PLAN22_LINE33_1800x300_Typ_33</t>
  </si>
  <si>
    <t>PLAN22_LINE33_2000x300_Typ_22</t>
  </si>
  <si>
    <t>PLAN22_LINE33_2000x300_Typ_33</t>
  </si>
  <si>
    <t>PLAN_VKL_LIN_VKL_400x300_Typ_11</t>
  </si>
  <si>
    <t>PLAN_VKL_LIN_VKL_400x300_Typ_21</t>
  </si>
  <si>
    <t>PLAN_VKL_LIN_VKL_500x300_Typ_11</t>
  </si>
  <si>
    <t>PLAN_VKL_LIN_VKL_500x300_Typ_21</t>
  </si>
  <si>
    <t>PLAN_VKL_LIN_VKL_600x300_Typ_11</t>
  </si>
  <si>
    <t>PLAN_VKL_LIN_VKL_600x300_Typ_21</t>
  </si>
  <si>
    <t>PLAN_VKL_LIN_VKL_700x300_Typ_11</t>
  </si>
  <si>
    <t>PLAN_VKL_LIN_VKL_700x300_Typ_21</t>
  </si>
  <si>
    <t>PLAN_VKL_LIN_VKL_800x300_Typ_11</t>
  </si>
  <si>
    <t>PLAN_VKL_LIN_VKL_800x300_Typ_21</t>
  </si>
  <si>
    <t>PLAN_VKL_LIN_VKL_900x300_Typ_11</t>
  </si>
  <si>
    <t>PLAN_VKL_LIN_VKL_900x300_Typ_21</t>
  </si>
  <si>
    <t>PLAN_VKL_LIN_VKL_1000x300_Typ_11</t>
  </si>
  <si>
    <t>PLAN_VKL_LIN_VKL_1000x300_Typ_21</t>
  </si>
  <si>
    <t>PLAN_VKL_LIN_VKL_1100x300_Typ_11</t>
  </si>
  <si>
    <t>PLAN_VKL_LIN_VKL_1100x300_Typ_21</t>
  </si>
  <si>
    <t>PLAN_VKL_LIN_VKL_1200x300_Typ_11</t>
  </si>
  <si>
    <t>PLAN_VKL_LIN_VKL_1200x300_Typ_21</t>
  </si>
  <si>
    <t>PLAN_VKL_LIN_VKL_1400x300_Typ_11</t>
  </si>
  <si>
    <t>PLAN_VKL_LIN_VKL_1400x300_Typ_21</t>
  </si>
  <si>
    <t>PLAN_VKL_LIN_VKL_1600x300_Typ_11</t>
  </si>
  <si>
    <t>PLAN_VKL_LIN_VKL_1600x300_Typ_21</t>
  </si>
  <si>
    <t>PLAN_VKL_LIN_VKL_1800x300_Typ_11</t>
  </si>
  <si>
    <t>PLAN_VKL_LIN_VKL_1800x300_Typ_21</t>
  </si>
  <si>
    <t>PLAN_VKL_LIN_VKL_2000x300_Typ_11</t>
  </si>
  <si>
    <t>PLAN_VKL_LIN_VKL_2000x300_Typ_21</t>
  </si>
  <si>
    <t>VKM8_500x400_Typ_10</t>
  </si>
  <si>
    <t>VKM8_500x400_Typ_11</t>
  </si>
  <si>
    <t>VKM8_500x400_Typ_20</t>
  </si>
  <si>
    <t>VKM8_600x400_Typ_10</t>
  </si>
  <si>
    <t>VKM8_600x400_Typ_11</t>
  </si>
  <si>
    <t>VKM8_600x400_Typ_20</t>
  </si>
  <si>
    <t>VKM8_700x400_Typ_10</t>
  </si>
  <si>
    <t>VKM8_700x400_Typ_11</t>
  </si>
  <si>
    <t>VKM8_700x400_Typ_20</t>
  </si>
  <si>
    <t>VKM8_800x400_Typ_10</t>
  </si>
  <si>
    <t>VKM8_800x400_Typ_11</t>
  </si>
  <si>
    <t>VKM8_800x400_Typ_20</t>
  </si>
  <si>
    <t>VKM8_900x400_Typ_10</t>
  </si>
  <si>
    <t>VKM8_900x400_Typ_11</t>
  </si>
  <si>
    <t>VKM8_900x400_Typ_20</t>
  </si>
  <si>
    <t>VKM8_1000x400_Typ_10</t>
  </si>
  <si>
    <t>VKM8_1000x400_Typ_11</t>
  </si>
  <si>
    <t>VKM8_1000x400_Typ_20</t>
  </si>
  <si>
    <t>VKM8_1100x400_Typ_10</t>
  </si>
  <si>
    <t>VKM8_1100x400_Typ_11</t>
  </si>
  <si>
    <t>VKM8_1100x400_Typ_20</t>
  </si>
  <si>
    <t>VKM8_1200x400_Typ_10</t>
  </si>
  <si>
    <t>VKM8_1200x400_Typ_11</t>
  </si>
  <si>
    <t>VKM8_1200x400_Typ_20</t>
  </si>
  <si>
    <t>VKM8_1400x400_Typ_10</t>
  </si>
  <si>
    <t>VKM8_1400x400_Typ_11</t>
  </si>
  <si>
    <t>VKM8_1400x400_Typ_20</t>
  </si>
  <si>
    <t>VKM8_1600x400_Typ_10</t>
  </si>
  <si>
    <t>VKM8_1600x400_Typ_11</t>
  </si>
  <si>
    <t>VKM8_1600x400_Typ_20</t>
  </si>
  <si>
    <t>VKM8_1800x400_Typ_10</t>
  </si>
  <si>
    <t>VKM8_1800x400_Typ_11</t>
  </si>
  <si>
    <t>VKM8_1800x400_Typ_20</t>
  </si>
  <si>
    <t>VKM8_2000x400_Typ_10</t>
  </si>
  <si>
    <t>VKM8_2000x400_Typ_11</t>
  </si>
  <si>
    <t>VKM8_2000x400_Typ_20</t>
  </si>
  <si>
    <t>VKM8_2300x400_Typ_11</t>
  </si>
  <si>
    <t>VKM8_2300x400_Typ_20</t>
  </si>
  <si>
    <t>VKM8_2600x400_Typ_11</t>
  </si>
  <si>
    <t>VKM8_2600x400_Typ_20</t>
  </si>
  <si>
    <t>VKM8_3000x400_Typ_11</t>
  </si>
  <si>
    <t>VKM8_3000x400_Typ_20</t>
  </si>
  <si>
    <t>PLAN_LINE_400x400_Typ_11</t>
  </si>
  <si>
    <t>PLAN_LINE_400x400_Typ_21</t>
  </si>
  <si>
    <t>PLAN_LINE_500x400_Typ_11</t>
  </si>
  <si>
    <t>PLAN_LINE_500x400_Typ_21</t>
  </si>
  <si>
    <t>PLAN_LINE_600x400_Typ_11</t>
  </si>
  <si>
    <t>PLAN_LINE_600x400_Typ_21</t>
  </si>
  <si>
    <t>PLAN_LINE_700x400_Typ_11</t>
  </si>
  <si>
    <t>PLAN_LINE_700x400_Typ_21</t>
  </si>
  <si>
    <t>PLAN_LINE_800x400_Typ_11</t>
  </si>
  <si>
    <t>PLAN_LINE_800x400_Typ_21</t>
  </si>
  <si>
    <t>PLAN_LINE_900x400_Typ_11</t>
  </si>
  <si>
    <t>PLAN_LINE_900x400_Typ_21</t>
  </si>
  <si>
    <t>PLAN_LINE_1000x400_Typ_11</t>
  </si>
  <si>
    <t>PLAN_LINE_1000x400_Typ_21</t>
  </si>
  <si>
    <t>PLAN_LINE_1100x400_Typ_11</t>
  </si>
  <si>
    <t>PLAN_LINE_1100x400_Typ_21</t>
  </si>
  <si>
    <t>PLAN_LINE_1200x400_Typ_11</t>
  </si>
  <si>
    <t>PLAN_LINE_1200x400_Typ_21</t>
  </si>
  <si>
    <t>PLAN_LINE_1400x400_Typ_11</t>
  </si>
  <si>
    <t>PLAN_LINE_1400x400_Typ_21</t>
  </si>
  <si>
    <t>PLAN_LINE_1600x400_Typ_11</t>
  </si>
  <si>
    <t>PLAN_LINE_1600x400_Typ_21</t>
  </si>
  <si>
    <t>PLAN_LINE_1800x400_Typ_11</t>
  </si>
  <si>
    <t>PLAN_LINE_1800x400_Typ_21</t>
  </si>
  <si>
    <t>PLAN_LINE_2000x400_Typ_11</t>
  </si>
  <si>
    <t>PLAN_LINE_2000x400_Typ_21</t>
  </si>
  <si>
    <t>PLAN22_LINE33_400x400_Typ_22</t>
  </si>
  <si>
    <t>PLAN22_LINE33_400x400_Typ_33</t>
  </si>
  <si>
    <t>PLAN22_LINE33_500x400_Typ_22</t>
  </si>
  <si>
    <t>PLAN22_LINE33_500x400_Typ_33</t>
  </si>
  <si>
    <t>PLAN22_LINE33_600x400_Typ_22</t>
  </si>
  <si>
    <t>PLAN22_LINE33_600x400_Typ_33</t>
  </si>
  <si>
    <t>PLAN22_LINE33_700x400_Typ_22</t>
  </si>
  <si>
    <t>PLAN22_LINE33_700x400_Typ_33</t>
  </si>
  <si>
    <t>PLAN22_LINE33_800x400_Typ_22</t>
  </si>
  <si>
    <t>PLAN22_LINE33_800x400_Typ_33</t>
  </si>
  <si>
    <t>PLAN22_LINE33_900x400_Typ_22</t>
  </si>
  <si>
    <t>PLAN22_LINE33_900x400_Typ_33</t>
  </si>
  <si>
    <t>PLAN22_LINE33_1000x400_Typ_22</t>
  </si>
  <si>
    <t>PLAN22_LINE33_1000x400_Typ_33</t>
  </si>
  <si>
    <t>PLAN22_LINE33_1100x400_Typ_22</t>
  </si>
  <si>
    <t>PLAN22_LINE33_1100x400_Typ_33</t>
  </si>
  <si>
    <t>PLAN22_LINE33_1200x400_Typ_22</t>
  </si>
  <si>
    <t>PLAN22_LINE33_1200x400_Typ_33</t>
  </si>
  <si>
    <t>PLAN22_LINE33_1400x400_Typ_22</t>
  </si>
  <si>
    <t>PLAN22_LINE33_1400x400_Typ_33</t>
  </si>
  <si>
    <t>PLAN22_LINE33_1600x400_Typ_22</t>
  </si>
  <si>
    <t>PLAN22_LINE33_1600x400_Typ_33</t>
  </si>
  <si>
    <t>PLAN22_LINE33_1800x400_Typ_22</t>
  </si>
  <si>
    <t>PLAN22_LINE33_1800x400_Typ_33</t>
  </si>
  <si>
    <t>PLAN22_LINE33_2000x400_Typ_22</t>
  </si>
  <si>
    <t>PLAN22_LINE33_2000x400_Typ_33</t>
  </si>
  <si>
    <t>PLAN_VKL_LIN_VKL_400x400_Typ_11</t>
  </si>
  <si>
    <t>PLAN_VKL_LIN_VKL_400x400_Typ_21</t>
  </si>
  <si>
    <t>PLAN_VKL_LIN_VKL_500x400_Typ_11</t>
  </si>
  <si>
    <t>PLAN_VKL_LIN_VKL_500x400_Typ_21</t>
  </si>
  <si>
    <t>PLAN_VKL_LIN_VKL_600x400_Typ_11</t>
  </si>
  <si>
    <t>PLAN_VKL_LIN_VKL_600x400_Typ_21</t>
  </si>
  <si>
    <t>PLAN_VKL_LIN_VKL_700x400_Typ_11</t>
  </si>
  <si>
    <t>PLAN_VKL_LIN_VKL_700x400_Typ_21</t>
  </si>
  <si>
    <t>PLAN_VKL_LIN_VKL_800x400_Typ_11</t>
  </si>
  <si>
    <t>PLAN_VKL_LIN_VKL_800x400_Typ_21</t>
  </si>
  <si>
    <t>PLAN_VKL_LIN_VKL_900x400_Typ_11</t>
  </si>
  <si>
    <t>PLAN_VKL_LIN_VKL_900x400_Typ_21</t>
  </si>
  <si>
    <t>PLAN_VKL_LIN_VKL_1000x400_Typ_11</t>
  </si>
  <si>
    <t>PLAN_VKL_LIN_VKL_1000x400_Typ_21</t>
  </si>
  <si>
    <t>PLAN_VKL_LIN_VKL_1100x400_Typ_11</t>
  </si>
  <si>
    <t>PLAN_VKL_LIN_VKL_1100x400_Typ_21</t>
  </si>
  <si>
    <t>PLAN_VKL_LIN_VKL_1200x400_Typ_11</t>
  </si>
  <si>
    <t>PLAN_VKL_LIN_VKL_1200x400_Typ_21</t>
  </si>
  <si>
    <t>PLAN_VKL_LIN_VKL_1400x400_Typ_11</t>
  </si>
  <si>
    <t>PLAN_VKL_LIN_VKL_1400x400_Typ_21</t>
  </si>
  <si>
    <t>PLAN_VKL_LIN_VKL_1600x400_Typ_11</t>
  </si>
  <si>
    <t>PLAN_VKL_LIN_VKL_1600x400_Typ_21</t>
  </si>
  <si>
    <t>PLAN_VKL_LIN_VKL_1800x400_Typ_11</t>
  </si>
  <si>
    <t>PLAN_VKL_LIN_VKL_1800x400_Typ_21</t>
  </si>
  <si>
    <t>PLAN_VKL_LIN_VKL_2000x400_Typ_11</t>
  </si>
  <si>
    <t>PLAN_VKL_LIN_VKL_2000x400_Typ_21</t>
  </si>
  <si>
    <t>VKM8_500x500_Typ_10</t>
  </si>
  <si>
    <t>VKM8_500x500_Typ_11</t>
  </si>
  <si>
    <t>VKM8_500x500_Typ_20</t>
  </si>
  <si>
    <t>VKM8_600x500_Typ_10</t>
  </si>
  <si>
    <t>VKM8_600x500_Typ_11</t>
  </si>
  <si>
    <t>VKM8_600x500_Typ_20</t>
  </si>
  <si>
    <t>VKM8_700x500_Typ_10</t>
  </si>
  <si>
    <t>VKM8_700x500_Typ_11</t>
  </si>
  <si>
    <t>VKM8_700x500_Typ_20</t>
  </si>
  <si>
    <t>VKM8_800x500_Typ_10</t>
  </si>
  <si>
    <t>VKM8_800x500_Typ_11</t>
  </si>
  <si>
    <t>VKM8_800x500_Typ_20</t>
  </si>
  <si>
    <t>VKM8_900x500_Typ_10</t>
  </si>
  <si>
    <t>VKM8_900x500_Typ_11</t>
  </si>
  <si>
    <t>VKM8_900x500_Typ_20</t>
  </si>
  <si>
    <t>VKM8_1000x500_Typ_10</t>
  </si>
  <si>
    <t>VKM8_1000x500_Typ_11</t>
  </si>
  <si>
    <t>VKM8_1000x500_Typ_20</t>
  </si>
  <si>
    <t>VKM8_1100x500_Typ_10</t>
  </si>
  <si>
    <t>VKM8_1100x500_Typ_11</t>
  </si>
  <si>
    <t>VKM8_1100x500_Typ_20</t>
  </si>
  <si>
    <t>VKM8_1200x500_Typ_10</t>
  </si>
  <si>
    <t>VKM8_1200x500_Typ_11</t>
  </si>
  <si>
    <t>VKM8_1200x500_Typ_20</t>
  </si>
  <si>
    <t>VKM8_1400x500_Typ_10</t>
  </si>
  <si>
    <t>VKM8_1400x500_Typ_11</t>
  </si>
  <si>
    <t>VKM8_1400x500_Typ_20</t>
  </si>
  <si>
    <t>VKM8_1600x500_Typ_10</t>
  </si>
  <si>
    <t>VKM8_1600x500_Typ_11</t>
  </si>
  <si>
    <t>VKM8_1600x500_Typ_20</t>
  </si>
  <si>
    <t>VKM8_1800x500_Typ_10</t>
  </si>
  <si>
    <t>VKM8_1800x500_Typ_11</t>
  </si>
  <si>
    <t>VKM8_1800x500_Typ_20</t>
  </si>
  <si>
    <t>VKM8_2000x500_Typ_10</t>
  </si>
  <si>
    <t>VKM8_2000x500_Typ_11</t>
  </si>
  <si>
    <t>VKM8_2000x500_Typ_20</t>
  </si>
  <si>
    <t>VKM8_2300x500_Typ_10</t>
  </si>
  <si>
    <t>VKM8_2300x500_Typ_11</t>
  </si>
  <si>
    <t>VKM8_2600x500_Typ_11</t>
  </si>
  <si>
    <t>VKM8_3000x500_Typ_11</t>
  </si>
  <si>
    <t>PLAN_LINE_400x500_Typ_11</t>
  </si>
  <si>
    <t>PLAN_LINE_400x500_Typ_21</t>
  </si>
  <si>
    <t>PLAN_LINE_500x500_Typ_11</t>
  </si>
  <si>
    <t>PLAN_LINE_500x500_Typ_21</t>
  </si>
  <si>
    <t>PLAN_LINE_600x500_Typ_11</t>
  </si>
  <si>
    <t>PLAN_LINE_600x500_Typ_21</t>
  </si>
  <si>
    <t>PLAN_LINE_700x500_Typ_11</t>
  </si>
  <si>
    <t>PLAN_LINE_700x500_Typ_21</t>
  </si>
  <si>
    <t>PLAN_LINE_800x500_Typ_11</t>
  </si>
  <si>
    <t>PLAN_LINE_800x500_Typ_21</t>
  </si>
  <si>
    <t>PLAN_LINE_900x500_Typ_11</t>
  </si>
  <si>
    <t>PLAN_LINE_900x500_Typ_21</t>
  </si>
  <si>
    <t>PLAN_LINE_1000x500_Typ_11</t>
  </si>
  <si>
    <t>PLAN_LINE_1000x500_Typ_21</t>
  </si>
  <si>
    <t>PLAN_LINE_1100x500_Typ_11</t>
  </si>
  <si>
    <t>PLAN_LINE_1100x500_Typ_21</t>
  </si>
  <si>
    <t>PLAN_LINE_1200x500_Typ_11</t>
  </si>
  <si>
    <t>PLAN_LINE_1200x500_Typ_21</t>
  </si>
  <si>
    <t>PLAN_LINE_1400x500_Typ_11</t>
  </si>
  <si>
    <t>PLAN_LINE_1400x500_Typ_21</t>
  </si>
  <si>
    <t>PLAN_LINE_1600x500_Typ_11</t>
  </si>
  <si>
    <t>PLAN_LINE_1600x500_Typ_21</t>
  </si>
  <si>
    <t>PLAN_LINE_1800x500_Typ_11</t>
  </si>
  <si>
    <t>PLAN_LINE_1800x500_Typ_21</t>
  </si>
  <si>
    <t>PLAN_LINE_2000x500_Typ_11</t>
  </si>
  <si>
    <t>PLAN_LINE_2000x500_Typ_21</t>
  </si>
  <si>
    <t>PLAN22_LINE33_400x500_Typ_22</t>
  </si>
  <si>
    <t>PLAN22_LINE33_400x500_Typ_33</t>
  </si>
  <si>
    <t>PLAN22_LINE33_500x500_Typ_22</t>
  </si>
  <si>
    <t>PLAN22_LINE33_500x500_Typ_33</t>
  </si>
  <si>
    <t>PLAN22_LINE33_600x500_Typ_22</t>
  </si>
  <si>
    <t>PLAN22_LINE33_600x500_Typ_33</t>
  </si>
  <si>
    <t>PLAN22_LINE33_700x500_Typ_22</t>
  </si>
  <si>
    <t>PLAN22_LINE33_700x500_Typ_33</t>
  </si>
  <si>
    <t>PLAN22_LINE33_800x500_Typ_22</t>
  </si>
  <si>
    <t>PLAN22_LINE33_800x500_Typ_33</t>
  </si>
  <si>
    <t>PLAN22_LINE33_900x500_Typ_22</t>
  </si>
  <si>
    <t>PLAN22_LINE33_900x500_Typ_33</t>
  </si>
  <si>
    <t>PLAN22_LINE33_1000x500_Typ_22</t>
  </si>
  <si>
    <t>PLAN22_LINE33_1000x500_Typ_33</t>
  </si>
  <si>
    <t>PLAN22_LINE33_1100x500_Typ_22</t>
  </si>
  <si>
    <t>PLAN22_LINE33_1100x500_Typ_33</t>
  </si>
  <si>
    <t>PLAN22_LINE33_1200x500_Typ_22</t>
  </si>
  <si>
    <t>PLAN22_LINE33_1200x500_Typ_33</t>
  </si>
  <si>
    <t>PLAN22_LINE33_1400x500_Typ_22</t>
  </si>
  <si>
    <t>PLAN22_LINE33_1400x500_Typ_33</t>
  </si>
  <si>
    <t>PLAN22_LINE33_1600x500_Typ_22</t>
  </si>
  <si>
    <t>PLAN22_LINE33_1600x500_Typ_33</t>
  </si>
  <si>
    <t>PLAN22_LINE33_1800x500_Typ_22</t>
  </si>
  <si>
    <t>PLAN22_LINE33_1800x500_Typ_33</t>
  </si>
  <si>
    <t>PLAN22_LINE33_2000x500_Typ_22</t>
  </si>
  <si>
    <t>PLAN22_LINE33_2000x500_Typ_33</t>
  </si>
  <si>
    <t>PLAN_VKL_LIN_VKL_400x500_Typ_11</t>
  </si>
  <si>
    <t>PLAN_VKL_LIN_VKL_400x500_Typ_21</t>
  </si>
  <si>
    <t>PLAN_VKL_LIN_VKL_500x500_Typ_11</t>
  </si>
  <si>
    <t>PLAN_VKL_LIN_VKL_500x500_Typ_21</t>
  </si>
  <si>
    <t>PLAN_VKL_LIN_VKL_600x500_Typ_11</t>
  </si>
  <si>
    <t>PLAN_VKL_LIN_VKL_600x500_Typ_21</t>
  </si>
  <si>
    <t>PLAN_VKL_LIN_VKL_700x500_Typ_11</t>
  </si>
  <si>
    <t>PLAN_VKL_LIN_VKL_700x500_Typ_21</t>
  </si>
  <si>
    <t>PLAN_VKL_LIN_VKL_800x500_Typ_11</t>
  </si>
  <si>
    <t>PLAN_VKL_LIN_VKL_800x500_Typ_21</t>
  </si>
  <si>
    <t>PLAN_VKL_LIN_VKL_900x500_Typ_11</t>
  </si>
  <si>
    <t>PLAN_VKL_LIN_VKL_900x500_Typ_21</t>
  </si>
  <si>
    <t>PLAN_VKL_LIN_VKL_1000x500_Typ_11</t>
  </si>
  <si>
    <t>PLAN_VKL_LIN_VKL_1000x500_Typ_21</t>
  </si>
  <si>
    <t>PLAN_VKL_LIN_VKL_1100x500_Typ_11</t>
  </si>
  <si>
    <t>PLAN_VKL_LIN_VKL_1100x500_Typ_21</t>
  </si>
  <si>
    <t>PLAN_VKL_LIN_VKL_1200x500_Typ_11</t>
  </si>
  <si>
    <t>PLAN_VKL_LIN_VKL_1200x500_Typ_21</t>
  </si>
  <si>
    <t>PLAN_VKL_LIN_VKL_1400x500_Typ_11</t>
  </si>
  <si>
    <t>PLAN_VKL_LIN_VKL_1400x500_Typ_21</t>
  </si>
  <si>
    <t>PLAN_VKL_LIN_VKL_1600x500_Typ_11</t>
  </si>
  <si>
    <t>PLAN_VKL_LIN_VKL_1600x500_Typ_21</t>
  </si>
  <si>
    <t>PLAN_VKL_LIN_VKL_1800x500_Typ_11</t>
  </si>
  <si>
    <t>PLAN_VKL_LIN_VKL_1800x500_Typ_21</t>
  </si>
  <si>
    <t>PLAN_VKL_LIN_VKL_2000x500_Typ_11</t>
  </si>
  <si>
    <t>PLAN_VKL_LIN_VKL_2000x500_Typ_21</t>
  </si>
  <si>
    <t>VKM8_500x600_Typ_10</t>
  </si>
  <si>
    <t>VKM8_500x600_Typ_11</t>
  </si>
  <si>
    <t>VKM8_500x600_Typ_20</t>
  </si>
  <si>
    <t>VKM8_600x600_Typ_10</t>
  </si>
  <si>
    <t>VKM8_600x600_Typ_11</t>
  </si>
  <si>
    <t>VKM8_600x600_Typ_20</t>
  </si>
  <si>
    <t>VKM8_700x600_Typ_10</t>
  </si>
  <si>
    <t>VKM8_700x600_Typ_11</t>
  </si>
  <si>
    <t>VKM8_700x600_Typ_20</t>
  </si>
  <si>
    <t>VKM8_800x600_Typ_10</t>
  </si>
  <si>
    <t>VKM8_800x600_Typ_11</t>
  </si>
  <si>
    <t>VKM8_800x600_Typ_20</t>
  </si>
  <si>
    <t>VKM8_900x600_Typ_10</t>
  </si>
  <si>
    <t>VKM8_900x600_Typ_11</t>
  </si>
  <si>
    <t>VKM8_900x600_Typ_20</t>
  </si>
  <si>
    <t>VKM8_1000x600_Typ_10</t>
  </si>
  <si>
    <t>VKM8_1000x600_Typ_11</t>
  </si>
  <si>
    <t>VKM8_1000x600_Typ_20</t>
  </si>
  <si>
    <t>VKM8_1100x600_Typ_10</t>
  </si>
  <si>
    <t>VKM8_1100x600_Typ_11</t>
  </si>
  <si>
    <t>VKM8_1100x600_Typ_20</t>
  </si>
  <si>
    <t>VKM8_1200x600_Typ_10</t>
  </si>
  <si>
    <t>VKM8_1200x600_Typ_11</t>
  </si>
  <si>
    <t>VKM8_1200x600_Typ_20</t>
  </si>
  <si>
    <t>VKM8_1400x600_Typ_10</t>
  </si>
  <si>
    <t>VKM8_1400x600_Typ_11</t>
  </si>
  <si>
    <t>VKM8_1400x600_Typ_20</t>
  </si>
  <si>
    <t>VKM8_1600x600_Typ_10</t>
  </si>
  <si>
    <t>VKM8_1600x600_Typ_11</t>
  </si>
  <si>
    <t>VKM8_1600x600_Typ_20</t>
  </si>
  <si>
    <t>VKM8_1800x600_Typ_10</t>
  </si>
  <si>
    <t>VKM8_1800x600_Typ_11</t>
  </si>
  <si>
    <t>VKM8_1800x600_Typ_20</t>
  </si>
  <si>
    <t>VKM8_2000x600_Typ_10</t>
  </si>
  <si>
    <t>VKM8_2000x600_Typ_11</t>
  </si>
  <si>
    <t>VKM8_2000x600_Typ_20</t>
  </si>
  <si>
    <t>VKM8_2300x600_Typ_10</t>
  </si>
  <si>
    <t>VKM8_2300x600_Typ_11</t>
  </si>
  <si>
    <t>VKM8_2600x600_Typ_11</t>
  </si>
  <si>
    <t>VKM8_3000x600_Typ_11</t>
  </si>
  <si>
    <t>PLAN_LINE_400x600_Typ_11</t>
  </si>
  <si>
    <t>PLAN_LINE_400x600_Typ_21</t>
  </si>
  <si>
    <t>PLAN_LINE_500x600_Typ_11</t>
  </si>
  <si>
    <t>PLAN_LINE_500x600_Typ_21</t>
  </si>
  <si>
    <t>PLAN_LINE_600x600_Typ_11</t>
  </si>
  <si>
    <t>PLAN_LINE_600x600_Typ_21</t>
  </si>
  <si>
    <t>PLAN_LINE_700x600_Typ_11</t>
  </si>
  <si>
    <t>PLAN_LINE_700x600_Typ_21</t>
  </si>
  <si>
    <t>PLAN_LINE_800x600_Typ_11</t>
  </si>
  <si>
    <t>PLAN_LINE_800x600_Typ_21</t>
  </si>
  <si>
    <t>PLAN_LINE_900x600_Typ_11</t>
  </si>
  <si>
    <t>PLAN_LINE_900x600_Typ_21</t>
  </si>
  <si>
    <t>PLAN_LINE_1000x600_Typ_11</t>
  </si>
  <si>
    <t>PLAN_LINE_1000x600_Typ_21</t>
  </si>
  <si>
    <t>PLAN_LINE_1100x600_Typ_11</t>
  </si>
  <si>
    <t>PLAN_LINE_1100x600_Typ_21</t>
  </si>
  <si>
    <t>PLAN_LINE_1200x600_Typ_11</t>
  </si>
  <si>
    <t>PLAN_LINE_1200x600_Typ_21</t>
  </si>
  <si>
    <t>PLAN_LINE_1400x600_Typ_11</t>
  </si>
  <si>
    <t>PLAN_LINE_1400x600_Typ_21</t>
  </si>
  <si>
    <t>PLAN_LINE_1600x600_Typ_11</t>
  </si>
  <si>
    <t>PLAN_LINE_1600x600_Typ_21</t>
  </si>
  <si>
    <t>PLAN_LINE_1800x600_Typ_11</t>
  </si>
  <si>
    <t>PLAN_LINE_1800x600_Typ_21</t>
  </si>
  <si>
    <t>PLAN_LINE_2000x600_Typ_11</t>
  </si>
  <si>
    <t>PLAN_LINE_2000x600_Typ_21</t>
  </si>
  <si>
    <t>PLAN22_LINE33_400x600_Typ_22</t>
  </si>
  <si>
    <t>PLAN22_LINE33_400x600_Typ_33</t>
  </si>
  <si>
    <t>PLAN22_LINE33_500x600_Typ_22</t>
  </si>
  <si>
    <t>PLAN22_LINE33_500x600_Typ_33</t>
  </si>
  <si>
    <t>PLAN22_LINE33_600x600_Typ_22</t>
  </si>
  <si>
    <t>PLAN22_LINE33_600x600_Typ_33</t>
  </si>
  <si>
    <t>PLAN22_LINE33_700x600_Typ_22</t>
  </si>
  <si>
    <t>PLAN22_LINE33_700x600_Typ_33</t>
  </si>
  <si>
    <t>PLAN22_LINE33_800x600_Typ_22</t>
  </si>
  <si>
    <t>PLAN22_LINE33_800x600_Typ_33</t>
  </si>
  <si>
    <t>PLAN22_LINE33_900x600_Typ_22</t>
  </si>
  <si>
    <t>PLAN22_LINE33_900x600_Typ_33</t>
  </si>
  <si>
    <t>PLAN22_LINE33_1000x600_Typ_22</t>
  </si>
  <si>
    <t>PLAN22_LINE33_1000x600_Typ_33</t>
  </si>
  <si>
    <t>PLAN22_LINE33_1100x600_Typ_22</t>
  </si>
  <si>
    <t>PLAN22_LINE33_1100x600_Typ_33</t>
  </si>
  <si>
    <t>PLAN22_LINE33_1200x600_Typ_22</t>
  </si>
  <si>
    <t>PLAN22_LINE33_1200x600_Typ_33</t>
  </si>
  <si>
    <t>PLAN22_LINE33_1400x600_Typ_22</t>
  </si>
  <si>
    <t>PLAN22_LINE33_1400x600_Typ_33</t>
  </si>
  <si>
    <t>PLAN22_LINE33_1600x600_Typ_22</t>
  </si>
  <si>
    <t>PLAN22_LINE33_1600x600_Typ_33</t>
  </si>
  <si>
    <t>PLAN22_LINE33_1800x600_Typ_22</t>
  </si>
  <si>
    <t>PLAN22_LINE33_1800x600_Typ_33</t>
  </si>
  <si>
    <t>PLAN22_LINE33_2000x600_Typ_22</t>
  </si>
  <si>
    <t>PLAN22_LINE33_2000x600_Typ_33</t>
  </si>
  <si>
    <t>PLAN_VKL_LIN_VKL_400x600_Typ_11</t>
  </si>
  <si>
    <t>PLAN_VKL_LIN_VKL_400x600_Typ_21</t>
  </si>
  <si>
    <t>PLAN_VKL_LIN_VKL_500x600_Typ_11</t>
  </si>
  <si>
    <t>PLAN_VKL_LIN_VKL_500x600_Typ_21</t>
  </si>
  <si>
    <t>PLAN_VKL_LIN_VKL_600x600_Typ_11</t>
  </si>
  <si>
    <t>PLAN_VKL_LIN_VKL_600x600_Typ_21</t>
  </si>
  <si>
    <t>PLAN_VKL_LIN_VKL_700x600_Typ_11</t>
  </si>
  <si>
    <t>PLAN_VKL_LIN_VKL_700x600_Typ_21</t>
  </si>
  <si>
    <t>PLAN_VKL_LIN_VKL_800x600_Typ_11</t>
  </si>
  <si>
    <t>PLAN_VKL_LIN_VKL_800x600_Typ_21</t>
  </si>
  <si>
    <t>PLAN_VKL_LIN_VKL_900x600_Typ_11</t>
  </si>
  <si>
    <t>PLAN_VKL_LIN_VKL_900x600_Typ_21</t>
  </si>
  <si>
    <t>PLAN_VKL_LIN_VKL_1000x600_Typ_11</t>
  </si>
  <si>
    <t>PLAN_VKL_LIN_VKL_1000x600_Typ_21</t>
  </si>
  <si>
    <t>PLAN_VKL_LIN_VKL_1100x600_Typ_11</t>
  </si>
  <si>
    <t>PLAN_VKL_LIN_VKL_1100x600_Typ_21</t>
  </si>
  <si>
    <t>PLAN_VKL_LIN_VKL_1200x600_Typ_11</t>
  </si>
  <si>
    <t>PLAN_VKL_LIN_VKL_1200x600_Typ_21</t>
  </si>
  <si>
    <t>PLAN_VKL_LIN_VKL_1400x600_Typ_11</t>
  </si>
  <si>
    <t>PLAN_VKL_LIN_VKL_1400x600_Typ_21</t>
  </si>
  <si>
    <t>PLAN_VKL_LIN_VKL_1600x600_Typ_11</t>
  </si>
  <si>
    <t>PLAN_VKL_LIN_VKL_1600x600_Typ_21</t>
  </si>
  <si>
    <t>PLAN_VKL_LIN_VKL_1800x600_Typ_11</t>
  </si>
  <si>
    <t>PLAN_VKL_LIN_VKL_1800x600_Typ_21</t>
  </si>
  <si>
    <t>PLAN_VKL_LIN_VKL_2000x600_Typ_11</t>
  </si>
  <si>
    <t>PLAN_VKL_LIN_VKL_2000x600_Typ_21</t>
  </si>
  <si>
    <t>VKM8_500x700_Typ_10</t>
  </si>
  <si>
    <t>VKM8_500x700_Typ_11</t>
  </si>
  <si>
    <t>VKM8_500x700_Typ_20</t>
  </si>
  <si>
    <t>VKM8_600x700_Typ_10</t>
  </si>
  <si>
    <t>VKM8_600x700_Typ_11</t>
  </si>
  <si>
    <t>VKM8_600x700_Typ_20</t>
  </si>
  <si>
    <t>VKM8_700x700_Typ_10</t>
  </si>
  <si>
    <t>VKM8_700x700_Typ_11</t>
  </si>
  <si>
    <t>VKM8_700x700_Typ_20</t>
  </si>
  <si>
    <t>VKM8_800x700_Typ_10</t>
  </si>
  <si>
    <t>VKM8_800x700_Typ_11</t>
  </si>
  <si>
    <t>VKM8_800x700_Typ_20</t>
  </si>
  <si>
    <t>VKM8_900x700_Typ_10</t>
  </si>
  <si>
    <t>VKM8_900x700_Typ_11</t>
  </si>
  <si>
    <t>VKM8_900x700_Typ_20</t>
  </si>
  <si>
    <t>VKM8_1000x700_Typ_10</t>
  </si>
  <si>
    <t>VKM8_1000x700_Typ_11</t>
  </si>
  <si>
    <t>VKM8_1000x700_Typ_20</t>
  </si>
  <si>
    <t>VKM8_1100x700_Typ_10</t>
  </si>
  <si>
    <t>VKM8_1100x700_Typ_11</t>
  </si>
  <si>
    <t>VKM8_1100x700_Typ_20</t>
  </si>
  <si>
    <t>VKM8_1200x700_Typ_10</t>
  </si>
  <si>
    <t>VKM8_1200x700_Typ_11</t>
  </si>
  <si>
    <t>VKM8_1200x700_Typ_20</t>
  </si>
  <si>
    <t>VKM8_1400x700_Typ_10</t>
  </si>
  <si>
    <t>VKM8_1400x700_Typ_11</t>
  </si>
  <si>
    <t>VKM8_1400x700_Typ_20</t>
  </si>
  <si>
    <t>VKM8_1600x700_Typ_10</t>
  </si>
  <si>
    <t>VKM8_1600x700_Typ_11</t>
  </si>
  <si>
    <t>VKM8_1600x700_Typ_20</t>
  </si>
  <si>
    <t>VKM8_1800x700_Typ_10</t>
  </si>
  <si>
    <t>VKM8_1800x700_Typ_11</t>
  </si>
  <si>
    <t>VKM8_1800x700_Typ_20</t>
  </si>
  <si>
    <t>VKM8_2000x700_Typ_10</t>
  </si>
  <si>
    <t>VKM8_2000x700_Typ_11</t>
  </si>
  <si>
    <t>VKM8_2000x700_Typ_20</t>
  </si>
  <si>
    <t>VKM8_2300x700_Typ_10</t>
  </si>
  <si>
    <t>VKM8_2300x700_Typ_11</t>
  </si>
  <si>
    <t>VKM8_2600x700_Typ_11</t>
  </si>
  <si>
    <t>VKM8_3000x700_Typ_11</t>
  </si>
  <si>
    <t>PLAN_LINE_400x700_Typ_11</t>
  </si>
  <si>
    <t>PLAN_LINE_400x700_Typ_21</t>
  </si>
  <si>
    <t>PLAN_LINE_500x700_Typ_11</t>
  </si>
  <si>
    <t>PLAN_LINE_500x700_Typ_21</t>
  </si>
  <si>
    <t>PLAN_LINE_600x700_Typ_11</t>
  </si>
  <si>
    <t>PLAN_LINE_600x700_Typ_21</t>
  </si>
  <si>
    <t>PLAN_LINE_700x700_Typ_11</t>
  </si>
  <si>
    <t>PLAN_LINE_700x700_Typ_21</t>
  </si>
  <si>
    <t>PLAN_LINE_800x700_Typ_11</t>
  </si>
  <si>
    <t>PLAN_LINE_800x700_Typ_21</t>
  </si>
  <si>
    <t>PLAN_LINE_900x700_Typ_11</t>
  </si>
  <si>
    <t>PLAN_LINE_900x700_Typ_21</t>
  </si>
  <si>
    <t>PLAN_LINE_1000x700_Typ_11</t>
  </si>
  <si>
    <t>PLAN_LINE_1000x700_Typ_21</t>
  </si>
  <si>
    <t>PLAN_LINE_1100x700_Typ_11</t>
  </si>
  <si>
    <t>PLAN_LINE_1100x700_Typ_21</t>
  </si>
  <si>
    <t>PLAN_LINE_1200x700_Typ_11</t>
  </si>
  <si>
    <t>PLAN_LINE_1200x700_Typ_21</t>
  </si>
  <si>
    <t>PLAN_LINE_1400x700_Typ_11</t>
  </si>
  <si>
    <t>PLAN_LINE_1400x700_Typ_21</t>
  </si>
  <si>
    <t>PLAN_LINE_1600x700_Typ_11</t>
  </si>
  <si>
    <t>PLAN_LINE_1600x700_Typ_21</t>
  </si>
  <si>
    <t>PLAN_LINE_1800x700_Typ_11</t>
  </si>
  <si>
    <t>PLAN_LINE_1800x700_Typ_21</t>
  </si>
  <si>
    <t>PLAN_LINE_2000x700_Typ_11</t>
  </si>
  <si>
    <t>PLAN_LINE_2000x700_Typ_21</t>
  </si>
  <si>
    <t>PLAN22_LINE33_400x700_Typ_22</t>
  </si>
  <si>
    <t>PLAN22_LINE33_400x700_Typ_33</t>
  </si>
  <si>
    <t>PLAN22_LINE33_500x700_Typ_22</t>
  </si>
  <si>
    <t>PLAN22_LINE33_500x700_Typ_33</t>
  </si>
  <si>
    <t>PLAN22_LINE33_600x700_Typ_22</t>
  </si>
  <si>
    <t>PLAN22_LINE33_600x700_Typ_33</t>
  </si>
  <si>
    <t>PLAN22_LINE33_700x700_Typ_22</t>
  </si>
  <si>
    <t>PLAN22_LINE33_700x700_Typ_33</t>
  </si>
  <si>
    <t>PLAN22_LINE33_800x700_Typ_22</t>
  </si>
  <si>
    <t>PLAN22_LINE33_800x700_Typ_33</t>
  </si>
  <si>
    <t>PLAN22_LINE33_900x700_Typ_22</t>
  </si>
  <si>
    <t>PLAN22_LINE33_900x700_Typ_33</t>
  </si>
  <si>
    <t>PLAN22_LINE33_1000x700_Typ_22</t>
  </si>
  <si>
    <t>PLAN22_LINE33_1000x700_Typ_33</t>
  </si>
  <si>
    <t>PLAN22_LINE33_1100x700_Typ_22</t>
  </si>
  <si>
    <t>PLAN22_LINE33_1100x700_Typ_33</t>
  </si>
  <si>
    <t>PLAN22_LINE33_1200x700_Typ_22</t>
  </si>
  <si>
    <t>PLAN22_LINE33_1200x700_Typ_33</t>
  </si>
  <si>
    <t>PLAN22_LINE33_1400x700_Typ_22</t>
  </si>
  <si>
    <t>PLAN22_LINE33_1400x700_Typ_33</t>
  </si>
  <si>
    <t>PLAN22_LINE33_1600x700_Typ_22</t>
  </si>
  <si>
    <t>PLAN22_LINE33_1600x700_Typ_33</t>
  </si>
  <si>
    <t>PLAN22_LINE33_1800x700_Typ_22</t>
  </si>
  <si>
    <t>PLAN22_LINE33_1800x700_Typ_33</t>
  </si>
  <si>
    <t>PLAN22_LINE33_2000x700_Typ_22</t>
  </si>
  <si>
    <t>PLAN22_LINE33_2000x700_Typ_33</t>
  </si>
  <si>
    <t>PLAN_VKL_LIN_VKL_400x700_Typ_11</t>
  </si>
  <si>
    <t>PLAN_VKL_LIN_VKL_400x700_Typ_21</t>
  </si>
  <si>
    <t>PLAN_VKL_LIN_VKL_500x700_Typ_11</t>
  </si>
  <si>
    <t>PLAN_VKL_LIN_VKL_500x700_Typ_21</t>
  </si>
  <si>
    <t>PLAN_VKL_LIN_VKL_600x700_Typ_11</t>
  </si>
  <si>
    <t>PLAN_VKL_LIN_VKL_600x700_Typ_21</t>
  </si>
  <si>
    <t>PLAN_VKL_LIN_VKL_700x700_Typ_11</t>
  </si>
  <si>
    <t>PLAN_VKL_LIN_VKL_700x700_Typ_21</t>
  </si>
  <si>
    <t>PLAN_VKL_LIN_VKL_800x700_Typ_11</t>
  </si>
  <si>
    <t>PLAN_VKL_LIN_VKL_800x700_Typ_21</t>
  </si>
  <si>
    <t>PLAN_VKL_LIN_VKL_900x700_Typ_11</t>
  </si>
  <si>
    <t>PLAN_VKL_LIN_VKL_900x700_Typ_21</t>
  </si>
  <si>
    <t>PLAN_VKL_LIN_VKL_1000x700_Typ_11</t>
  </si>
  <si>
    <t>PLAN_VKL_LIN_VKL_1000x700_Typ_21</t>
  </si>
  <si>
    <t>PLAN_VKL_LIN_VKL_1100x700_Typ_11</t>
  </si>
  <si>
    <t>PLAN_VKL_LIN_VKL_1100x700_Typ_21</t>
  </si>
  <si>
    <t>PLAN_VKL_LIN_VKL_1200x700_Typ_11</t>
  </si>
  <si>
    <t>PLAN_VKL_LIN_VKL_1200x700_Typ_21</t>
  </si>
  <si>
    <t>PLAN_VKL_LIN_VKL_1400x700_Typ_11</t>
  </si>
  <si>
    <t>PLAN_VKL_LIN_VKL_1400x700_Typ_21</t>
  </si>
  <si>
    <t>PLAN_VKL_LIN_VKL_1600x700_Typ_11</t>
  </si>
  <si>
    <t>PLAN_VKL_LIN_VKL_1600x700_Typ_21</t>
  </si>
  <si>
    <t>PLAN_VKL_LIN_VKL_1800x700_Typ_11</t>
  </si>
  <si>
    <t>PLAN_VKL_LIN_VKL_1800x700_Typ_21</t>
  </si>
  <si>
    <t>PLAN_VKL_LIN_VKL_2000x700_Typ_11</t>
  </si>
  <si>
    <t>PLAN_VKL_LIN_VKL_2000x700_Typ_21</t>
  </si>
  <si>
    <t>VKM8_500x900_Typ_11</t>
  </si>
  <si>
    <t>VKM8_500x900_Typ_20</t>
  </si>
  <si>
    <t>VKM8_600x900_Typ_11</t>
  </si>
  <si>
    <t>VKM8_600x900_Typ_20</t>
  </si>
  <si>
    <t>VKM8_700x900_Typ_11</t>
  </si>
  <si>
    <t>VKM8_700x900_Typ_20</t>
  </si>
  <si>
    <t>VKM8_800x900_Typ_11</t>
  </si>
  <si>
    <t>VKM8_800x900_Typ_20</t>
  </si>
  <si>
    <t>VKM8_900x900_Typ_11</t>
  </si>
  <si>
    <t>VKM8_900x900_Typ_20</t>
  </si>
  <si>
    <t>VKM8_1000x900_Typ_11</t>
  </si>
  <si>
    <t>VKM8_1000x900_Typ_20</t>
  </si>
  <si>
    <t>VKM8_1100x900_Typ_11</t>
  </si>
  <si>
    <t>VKM8_1100x900_Typ_20</t>
  </si>
  <si>
    <t>VKM8_1200x900_Typ_11</t>
  </si>
  <si>
    <t>VKM8_1200x900_Typ_20</t>
  </si>
  <si>
    <t>VKM8_1400x900_Typ_11</t>
  </si>
  <si>
    <t>VKM8_1400x900_Typ_20</t>
  </si>
  <si>
    <t>VKM8_1600x900_Typ_11</t>
  </si>
  <si>
    <t>VKM8_1600x900_Typ_20</t>
  </si>
  <si>
    <t>PLAN_LINE_400x900_Typ_21</t>
  </si>
  <si>
    <t>PLAN_LINE_500x900_Typ_21</t>
  </si>
  <si>
    <t>PLAN_LINE_600x900_Typ_21</t>
  </si>
  <si>
    <t>PLAN_LINE_700x900_Typ_21</t>
  </si>
  <si>
    <t>PLAN_LINE_800x900_Typ_21</t>
  </si>
  <si>
    <t>PLAN_LINE_900x900_Typ_21</t>
  </si>
  <si>
    <t>PLAN_LINE_1000x900_Typ_21</t>
  </si>
  <si>
    <t>PLAN_LINE_1100x900_Typ_21</t>
  </si>
  <si>
    <t>PLAN_LINE_1200x900_Typ_21</t>
  </si>
  <si>
    <t>PLAN_LINE_1400x900_Typ_21</t>
  </si>
  <si>
    <t>PLAN_LINE_1600x900_Typ_21</t>
  </si>
  <si>
    <t>PLAN22_LINE33_400x900_Typ_33</t>
  </si>
  <si>
    <t>PLAN22_LINE33_500x900_Typ_33</t>
  </si>
  <si>
    <t>PLAN22_LINE33_600x900_Typ_33</t>
  </si>
  <si>
    <t>PLAN22_LINE33_700x900_Typ_33</t>
  </si>
  <si>
    <t>PLAN22_LINE33_800x900_Typ_33</t>
  </si>
  <si>
    <t>PLAN22_LINE33_900x900_Typ_33</t>
  </si>
  <si>
    <t>PLAN22_LINE33_1000x900_Typ_33</t>
  </si>
  <si>
    <t>PLAN22_LINE33_1100x900_Typ_33</t>
  </si>
  <si>
    <t>PLAN22_LINE33_1200x900_Typ_33</t>
  </si>
  <si>
    <t>PLAN22_LINE33_1400x900_Typ_33</t>
  </si>
  <si>
    <t>PLAN22_LINE33_1600x900_Typ_33</t>
  </si>
  <si>
    <t>PLAN_VKL_LIN_VKL_400x900_Typ_21</t>
  </si>
  <si>
    <t>PLAN_VKL_LIN_VKL_500x900_Typ_21</t>
  </si>
  <si>
    <t>PLAN_VKL_LIN_VKL_600x900_Typ_21</t>
  </si>
  <si>
    <t>PLAN_VKL_LIN_VKL_700x900_Typ_21</t>
  </si>
  <si>
    <t>PLAN_VKL_LIN_VKL_800x900_Typ_21</t>
  </si>
  <si>
    <t>PLAN_VKL_LIN_VKL_900x900_Typ_21</t>
  </si>
  <si>
    <t>PLAN_VKL_LIN_VKL_1000x900_Typ_21</t>
  </si>
  <si>
    <t>PLAN_VKL_LIN_VKL_1100x900_Typ_21</t>
  </si>
  <si>
    <t>PLAN_VKL_LIN_VKL_1200x900_Typ_21</t>
  </si>
  <si>
    <t>PLAN_VKL_LIN_VKL_1400x900_Typ_21</t>
  </si>
  <si>
    <t>PLAN_VKL_LIN_VKL_1600x900_Typ_21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</si>
</sst>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0" borderId="8" xfId="0" applyBorder="1" applyProtection="1">
      <protection locked="0"/>
    </xf>
    <xf numFmtId="0" fontId="0" fillId="0" borderId="8" xfId="0" applyFill="1" applyBorder="1" applyProtection="1">
      <protection locked="0"/>
    </xf>
    <xf numFmtId="0" fontId="0" fillId="0" borderId="8" xfId="0" applyBorder="1"/>
    <xf numFmtId="0" fontId="1" fillId="2" borderId="8" xfId="0" applyFont="1" applyFill="1" applyBorder="1" applyAlignment="1"/>
    <xf numFmtId="0" fontId="0" fillId="2" borderId="7" xfId="0" applyFill="1" applyBorder="1"/>
    <xf numFmtId="0" fontId="0" fillId="2" borderId="0" xfId="0" applyFill="1" applyBorder="1" applyProtection="1">
      <protection locked="0"/>
    </xf>
    <xf numFmtId="0" fontId="0" fillId="2" borderId="0" xfId="0" applyFill="1" applyBorder="1"/>
    <xf numFmtId="0" fontId="0" fillId="2" borderId="9" xfId="0" applyFill="1" applyBorder="1"/>
    <xf numFmtId="0" fontId="0" fillId="0" borderId="11" xfId="0" applyBorder="1"/>
    <xf numFmtId="0" fontId="0" fillId="0" borderId="0" xfId="0" applyBorder="1"/>
    <xf numFmtId="0" fontId="0" fillId="2" borderId="11" xfId="0" applyFill="1" applyBorder="1"/>
    <xf numFmtId="0" fontId="0" fillId="2" borderId="8" xfId="0" applyFill="1" applyBorder="1"/>
    <xf numFmtId="10" fontId="0" fillId="2" borderId="8" xfId="0" applyNumberFormat="1" applyFill="1" applyBorder="1"/>
    <xf numFmtId="10" fontId="0" fillId="2" borderId="0" xfId="0" applyNumberFormat="1" applyFill="1" applyBorder="1" applyAlignment="1">
      <alignment horizontal="left"/>
    </xf>
    <xf numFmtId="0" fontId="0" fillId="2" borderId="8" xfId="0" applyFill="1" applyBorder="1" applyAlignment="1">
      <alignment horizontal="right"/>
    </xf>
    <xf numFmtId="0" fontId="0" fillId="3" borderId="0" xfId="0" applyFill="1"/>
    <xf numFmtId="2" fontId="0" fillId="0" borderId="8" xfId="0" applyNumberFormat="1" applyFill="1" applyBorder="1" applyProtection="1">
      <protection locked="0"/>
    </xf>
    <xf numFmtId="0" fontId="0" fillId="4" borderId="0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2" borderId="7" xfId="0" applyFont="1" applyFill="1" applyBorder="1" applyAlignment="1">
      <alignment horizontal="left"/>
    </xf>
    <xf numFmtId="0" fontId="1" fillId="2" borderId="0" xfId="0" applyFont="1" applyFill="1" applyBorder="1" applyAlignment="1">
      <alignment horizontal="left"/>
    </xf>
    <xf numFmtId="0" fontId="0" fillId="2" borderId="7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0" xfId="0" applyFill="1" applyBorder="1" applyAlignment="1">
      <alignment horizontal="left" vertical="top" wrapText="1"/>
    </xf>
    <xf numFmtId="0" fontId="0" fillId="2" borderId="10" xfId="0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$AF$3" fmlaRange="AE3:AE10" noThreeD="1" sel="7" val="0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171450</xdr:rowOff>
        </xdr:from>
        <xdr:to>
          <xdr:col>6</xdr:col>
          <xdr:colOff>1681</xdr:colOff>
          <xdr:row>8</xdr:row>
          <xdr:rowOff>9525</xdr:rowOff>
        </xdr:to>
        <xdr:sp macro="" textlink="">
          <xdr:nvSpPr>
            <xdr:cNvPr id="2057" name="popUp_HX_list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2076450</xdr:colOff>
          <xdr:row>37</xdr:row>
          <xdr:rowOff>47625</xdr:rowOff>
        </xdr:from>
        <xdr:to>
          <xdr:col>5</xdr:col>
          <xdr:colOff>800100</xdr:colOff>
          <xdr:row>39</xdr:row>
          <xdr:rowOff>171450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optimization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762000</xdr:colOff>
      <xdr:row>3</xdr:row>
      <xdr:rowOff>176893</xdr:rowOff>
    </xdr:from>
    <xdr:to>
      <xdr:col>23</xdr:col>
      <xdr:colOff>261257</xdr:colOff>
      <xdr:row>26</xdr:row>
      <xdr:rowOff>45396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0107" y="762000"/>
          <a:ext cx="10058400" cy="4250003"/>
        </a:xfrm>
        <a:prstGeom prst="rect">
          <a:avLst/>
        </a:prstGeom>
      </xdr:spPr>
    </xdr:pic>
    <xdr:clientData/>
  </xdr:twoCellAnchor>
  <xdr:twoCellAnchor>
    <xdr:from>
      <xdr:col>8</xdr:col>
      <xdr:colOff>721179</xdr:colOff>
      <xdr:row>8</xdr:row>
      <xdr:rowOff>40822</xdr:rowOff>
    </xdr:from>
    <xdr:to>
      <xdr:col>10</xdr:col>
      <xdr:colOff>762000</xdr:colOff>
      <xdr:row>15</xdr:row>
      <xdr:rowOff>122464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>
          <a:off x="6259286" y="1578429"/>
          <a:ext cx="1442357" cy="141514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466725</xdr:colOff>
      <xdr:row>22</xdr:row>
      <xdr:rowOff>142876</xdr:rowOff>
    </xdr:from>
    <xdr:to>
      <xdr:col>15</xdr:col>
      <xdr:colOff>476250</xdr:colOff>
      <xdr:row>24</xdr:row>
      <xdr:rowOff>19050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 flipV="1">
          <a:off x="11163300" y="4343401"/>
          <a:ext cx="9525" cy="25717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157369</xdr:colOff>
      <xdr:row>14</xdr:row>
      <xdr:rowOff>24847</xdr:rowOff>
    </xdr:from>
    <xdr:to>
      <xdr:col>24</xdr:col>
      <xdr:colOff>149087</xdr:colOff>
      <xdr:row>17</xdr:row>
      <xdr:rowOff>124239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 flipH="1">
          <a:off x="16267043" y="2700130"/>
          <a:ext cx="604631" cy="67089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16566</xdr:colOff>
      <xdr:row>2</xdr:row>
      <xdr:rowOff>132521</xdr:rowOff>
    </xdr:from>
    <xdr:to>
      <xdr:col>14</xdr:col>
      <xdr:colOff>604631</xdr:colOff>
      <xdr:row>4</xdr:row>
      <xdr:rowOff>33130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9433892" y="521804"/>
          <a:ext cx="1283804" cy="28160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24848</xdr:colOff>
      <xdr:row>2</xdr:row>
      <xdr:rowOff>140804</xdr:rowOff>
    </xdr:from>
    <xdr:to>
      <xdr:col>20</xdr:col>
      <xdr:colOff>579782</xdr:colOff>
      <xdr:row>4</xdr:row>
      <xdr:rowOff>66260</xdr:rowOff>
    </xdr:to>
    <xdr:cxnSp macro="">
      <xdr:nvCxnSpPr>
        <xdr:cNvPr id="2049" name="Straight Arrow Connector 2048">
          <a:extLs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CxnSpPr/>
      </xdr:nvCxnSpPr>
      <xdr:spPr>
        <a:xfrm>
          <a:off x="11976652" y="530087"/>
          <a:ext cx="2874065" cy="30645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563218</xdr:colOff>
      <xdr:row>2</xdr:row>
      <xdr:rowOff>165652</xdr:rowOff>
    </xdr:from>
    <xdr:to>
      <xdr:col>15</xdr:col>
      <xdr:colOff>565467</xdr:colOff>
      <xdr:row>3</xdr:row>
      <xdr:rowOff>143763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/>
      </xdr:nvCxnSpPr>
      <xdr:spPr>
        <a:xfrm>
          <a:off x="11289196" y="554935"/>
          <a:ext cx="2249" cy="16861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530087</xdr:colOff>
      <xdr:row>5</xdr:row>
      <xdr:rowOff>33130</xdr:rowOff>
    </xdr:from>
    <xdr:to>
      <xdr:col>23</xdr:col>
      <xdr:colOff>554935</xdr:colOff>
      <xdr:row>9</xdr:row>
      <xdr:rowOff>57978</xdr:rowOff>
    </xdr:to>
    <xdr:cxnSp macro="">
      <xdr:nvCxnSpPr>
        <xdr:cNvPr id="2053" name="Straight Arrow Connector 2052">
          <a:extLs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CxnSpPr/>
      </xdr:nvCxnSpPr>
      <xdr:spPr>
        <a:xfrm flipH="1">
          <a:off x="16026848" y="993913"/>
          <a:ext cx="637761" cy="786848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289893</xdr:colOff>
      <xdr:row>4</xdr:row>
      <xdr:rowOff>149087</xdr:rowOff>
    </xdr:from>
    <xdr:to>
      <xdr:col>23</xdr:col>
      <xdr:colOff>0</xdr:colOff>
      <xdr:row>9</xdr:row>
      <xdr:rowOff>24847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/>
      </xdr:nvCxnSpPr>
      <xdr:spPr>
        <a:xfrm flipH="1">
          <a:off x="12241697" y="919370"/>
          <a:ext cx="3867977" cy="82826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349E3-E3C9-435E-822C-2EC928E2B780}">
  <sheetPr codeName="List1"/>
  <dimension ref="A1:AM101"/>
  <sheetViews>
    <sheetView tabSelected="1" topLeftCell="C16" zoomScale="85" zoomScaleNormal="85" workbookViewId="0">
      <selection activeCell="F18" sqref="F18"/>
    </sheetView>
  </sheetViews>
  <sheetFormatPr defaultRowHeight="15" x14ac:dyDescent="0.25"/>
  <cols>
    <col min="1" max="1" width="1" hidden="1" customWidth="1"/>
    <col min="2" max="2" width="2.140625" hidden="1" customWidth="1"/>
    <col min="3" max="3" width="1.42578125" customWidth="1"/>
    <col min="4" max="4" width="3.5703125" customWidth="1"/>
    <col min="5" max="5" width="42.7109375" customWidth="1"/>
    <col min="6" max="6" width="17" customWidth="1"/>
    <col min="9" max="9" width="11.85546875" bestFit="1" customWidth="1"/>
    <col min="11" max="11" width="18.5703125" bestFit="1" customWidth="1"/>
    <col min="14" max="14" width="10.42578125" customWidth="1"/>
    <col min="19" max="19" width="16.42578125" bestFit="1" customWidth="1"/>
    <col min="23" max="29" width="9.140625" customWidth="1"/>
    <col min="30" max="30" width="9.140625" hidden="1" customWidth="1"/>
    <col min="31" max="32" width="12.7109375" customWidth="1"/>
    <col min="33" max="39" width="9.140625" hidden="1" customWidth="1"/>
    <col min="40" max="40" width="9.140625" customWidth="1"/>
  </cols>
  <sheetData>
    <row r="1" spans="4:39" ht="15.75" thickBot="1" x14ac:dyDescent="0.3">
      <c r="D1" s="30" t="s">
        <v>79</v>
      </c>
      <c r="E1" s="31"/>
      <c r="F1" s="32"/>
      <c r="G1" s="27" t="s">
        <v>80</v>
      </c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9"/>
    </row>
    <row r="2" spans="4:39" x14ac:dyDescent="0.25">
      <c r="D2" s="1"/>
      <c r="E2" s="2"/>
      <c r="F2" s="3"/>
      <c r="G2" s="22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3"/>
      <c r="AD2" t="s">
        <v>13</v>
      </c>
      <c r="AE2" s="19" t="s">
        <v>12</v>
      </c>
      <c r="AF2" s="19" t="s">
        <v>11</v>
      </c>
      <c r="AH2" t="s">
        <v>10</v>
      </c>
      <c r="AI2" t="s">
        <v>9</v>
      </c>
      <c r="AJ2" t="s">
        <v>8</v>
      </c>
      <c r="AK2" t="s">
        <v>3</v>
      </c>
      <c r="AL2" t="s">
        <v>7</v>
      </c>
      <c r="AM2" t="s">
        <v>6</v>
      </c>
    </row>
    <row r="3" spans="4:39" x14ac:dyDescent="0.25">
      <c r="D3" s="33" t="s">
        <v>72</v>
      </c>
      <c r="E3" s="34"/>
      <c r="F3" s="4">
        <v>60</v>
      </c>
      <c r="G3" s="22"/>
      <c r="H3" s="21"/>
      <c r="I3" s="21"/>
      <c r="J3" s="21"/>
      <c r="K3" s="21"/>
      <c r="L3" s="21"/>
      <c r="M3" s="21"/>
      <c r="N3" s="21"/>
      <c r="O3" s="21"/>
      <c r="P3" s="21" t="s">
        <v>84</v>
      </c>
      <c r="Q3" s="21"/>
      <c r="R3" s="21"/>
      <c r="S3" s="21"/>
      <c r="T3" s="21"/>
      <c r="U3" s="21"/>
      <c r="V3" s="21"/>
      <c r="W3" s="21"/>
      <c r="X3" s="21"/>
      <c r="Y3" s="21"/>
      <c r="Z3" s="23"/>
      <c r="AD3">
        <f>MAX(E10:E29)</f>
        <v>8</v>
      </c>
      <c r="AE3" t="s">
        <v>2</v>
      </c>
      <c r="AF3">
        <v>7</v>
      </c>
      <c r="AG3">
        <v>1</v>
      </c>
      <c r="AH3">
        <f>SUM(F10:F29)/4185/(F3-F4)*3600</f>
        <v>490.32258064516134</v>
      </c>
      <c r="AI3">
        <f>F3</f>
        <v>60</v>
      </c>
      <c r="AJ3">
        <f t="shared" ref="AJ3:AJ24" si="0">AI3-$AH$5*(AI3-$F$5)</f>
        <v>32</v>
      </c>
      <c r="AK3">
        <f t="shared" ref="AK3:AK24" si="1">(AI3-AJ3)/LN((AI3-$F$5)/(AJ3-$F$5))</f>
        <v>17.397378167669132</v>
      </c>
      <c r="AL3">
        <f t="shared" ref="AL3:AL24" si="2">F10/AK3</f>
        <v>57.479925444075008</v>
      </c>
      <c r="AM3" t="e">
        <f>AVERAGE(AL3:AL7)</f>
        <v>#REF!</v>
      </c>
    </row>
    <row r="4" spans="4:39" x14ac:dyDescent="0.25">
      <c r="D4" s="33" t="s">
        <v>73</v>
      </c>
      <c r="E4" s="34"/>
      <c r="F4" s="4">
        <v>40</v>
      </c>
      <c r="G4" s="22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3"/>
      <c r="AD4">
        <f>IF(ISNUMBER(AD3),1,0)</f>
        <v>1</v>
      </c>
      <c r="AE4" t="s">
        <v>1</v>
      </c>
      <c r="AH4" t="s">
        <v>0</v>
      </c>
      <c r="AI4">
        <f>AI3-F10/$AH$3*3600/4185</f>
        <v>58.245614035087719</v>
      </c>
      <c r="AJ4">
        <f t="shared" si="0"/>
        <v>31.649122807017541</v>
      </c>
      <c r="AK4">
        <f t="shared" si="1"/>
        <v>16.525329136708269</v>
      </c>
      <c r="AL4">
        <f>F15/AK4</f>
        <v>72.615800270773406</v>
      </c>
    </row>
    <row r="5" spans="4:39" x14ac:dyDescent="0.25">
      <c r="D5" s="33" t="s">
        <v>74</v>
      </c>
      <c r="E5" s="34"/>
      <c r="F5" s="4">
        <v>25</v>
      </c>
      <c r="G5" s="22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 t="s">
        <v>85</v>
      </c>
      <c r="Y5" s="21"/>
      <c r="Z5" s="23"/>
      <c r="AD5">
        <f>COUNTA(AE:AE)-1</f>
        <v>8</v>
      </c>
      <c r="AE5" t="s">
        <v>87</v>
      </c>
      <c r="AH5">
        <v>0.8</v>
      </c>
      <c r="AI5">
        <f t="shared" ref="AI5:AI24" si="3">AI4-E11/$AH$3*3600/4185</f>
        <v>58.242105263157896</v>
      </c>
      <c r="AJ5">
        <f t="shared" si="0"/>
        <v>31.648421052631576</v>
      </c>
      <c r="AK5">
        <f t="shared" si="1"/>
        <v>16.523585038646349</v>
      </c>
      <c r="AL5">
        <f t="shared" si="2"/>
        <v>151.29888545087826</v>
      </c>
    </row>
    <row r="6" spans="4:39" x14ac:dyDescent="0.25">
      <c r="D6" s="33" t="s">
        <v>77</v>
      </c>
      <c r="E6" s="34"/>
      <c r="F6" s="5">
        <v>4185</v>
      </c>
      <c r="G6" s="22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3"/>
      <c r="AE6" t="s">
        <v>88</v>
      </c>
      <c r="AI6">
        <f t="shared" si="3"/>
        <v>58.236842105263158</v>
      </c>
      <c r="AJ6">
        <f t="shared" si="0"/>
        <v>31.647368421052629</v>
      </c>
      <c r="AK6">
        <f t="shared" si="1"/>
        <v>16.520968891553466</v>
      </c>
      <c r="AL6">
        <f t="shared" si="2"/>
        <v>48.423310112823295</v>
      </c>
    </row>
    <row r="7" spans="4:39" x14ac:dyDescent="0.25">
      <c r="D7" s="33" t="s">
        <v>78</v>
      </c>
      <c r="E7" s="34"/>
      <c r="F7" s="20">
        <v>1.3</v>
      </c>
      <c r="G7" s="22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3"/>
      <c r="AE7" t="s">
        <v>89</v>
      </c>
      <c r="AI7">
        <f t="shared" si="3"/>
        <v>58.229824561403511</v>
      </c>
      <c r="AJ7">
        <f t="shared" si="0"/>
        <v>31.6459649122807</v>
      </c>
      <c r="AK7">
        <f t="shared" si="1"/>
        <v>16.517480695429622</v>
      </c>
      <c r="AL7" t="e">
        <f>#REF!/AK7</f>
        <v>#REF!</v>
      </c>
    </row>
    <row r="8" spans="4:39" x14ac:dyDescent="0.25">
      <c r="D8" s="33" t="s">
        <v>75</v>
      </c>
      <c r="E8" s="34"/>
      <c r="F8" s="6"/>
      <c r="G8" s="22"/>
      <c r="H8" s="21"/>
      <c r="I8" s="21" t="s">
        <v>81</v>
      </c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3"/>
      <c r="AE8" t="s">
        <v>90</v>
      </c>
      <c r="AI8">
        <f t="shared" si="3"/>
        <v>58.221052631578949</v>
      </c>
      <c r="AJ8">
        <f t="shared" si="0"/>
        <v>31.644210526315788</v>
      </c>
      <c r="AK8">
        <f t="shared" si="1"/>
        <v>16.513120450274819</v>
      </c>
      <c r="AL8" t="e">
        <f>#REF!/AK8</f>
        <v>#REF!</v>
      </c>
    </row>
    <row r="9" spans="4:39" x14ac:dyDescent="0.25">
      <c r="D9" s="33" t="s">
        <v>76</v>
      </c>
      <c r="E9" s="34"/>
      <c r="F9" s="7"/>
      <c r="G9" s="22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3"/>
      <c r="AE9" t="s">
        <v>91</v>
      </c>
      <c r="AI9">
        <f t="shared" si="3"/>
        <v>58.210526315789473</v>
      </c>
      <c r="AJ9">
        <f t="shared" si="0"/>
        <v>31.642105263157895</v>
      </c>
      <c r="AK9">
        <f t="shared" si="1"/>
        <v>16.507888156089056</v>
      </c>
      <c r="AL9">
        <f t="shared" si="2"/>
        <v>72.692520609147167</v>
      </c>
    </row>
    <row r="10" spans="4:39" x14ac:dyDescent="0.25">
      <c r="D10" s="8"/>
      <c r="E10" s="9">
        <v>1</v>
      </c>
      <c r="F10" s="4">
        <v>1000</v>
      </c>
      <c r="G10" s="22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3"/>
      <c r="AE10" t="s">
        <v>92</v>
      </c>
      <c r="AI10">
        <f t="shared" si="3"/>
        <v>58.198245614035088</v>
      </c>
      <c r="AJ10">
        <f t="shared" si="0"/>
        <v>31.639649122807015</v>
      </c>
      <c r="AK10">
        <f t="shared" si="1"/>
        <v>16.501783812872326</v>
      </c>
      <c r="AL10">
        <f t="shared" si="2"/>
        <v>115.13906748177688</v>
      </c>
    </row>
    <row r="11" spans="4:39" x14ac:dyDescent="0.25">
      <c r="D11" s="8"/>
      <c r="E11" s="10">
        <f>IF(ISBLANK(F11),"",E10+1)</f>
        <v>2</v>
      </c>
      <c r="F11">
        <v>2000</v>
      </c>
      <c r="G11" s="22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3"/>
      <c r="AI11">
        <f t="shared" si="3"/>
        <v>58.184210526315788</v>
      </c>
      <c r="AJ11">
        <f t="shared" si="0"/>
        <v>31.636842105263156</v>
      </c>
      <c r="AK11">
        <f t="shared" si="1"/>
        <v>16.494807420624639</v>
      </c>
      <c r="AL11">
        <f t="shared" si="2"/>
        <v>0</v>
      </c>
    </row>
    <row r="12" spans="4:39" x14ac:dyDescent="0.25">
      <c r="D12" s="8"/>
      <c r="E12" s="10">
        <f t="shared" ref="E12:E29" si="4">IF(ISBLANK(F12),"",E11+1)</f>
        <v>3</v>
      </c>
      <c r="F12" s="4">
        <v>2500</v>
      </c>
      <c r="G12" s="22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3"/>
      <c r="AI12" t="e">
        <f t="shared" si="3"/>
        <v>#VALUE!</v>
      </c>
      <c r="AJ12" t="e">
        <f t="shared" si="0"/>
        <v>#VALUE!</v>
      </c>
      <c r="AK12" t="e">
        <f t="shared" si="1"/>
        <v>#VALUE!</v>
      </c>
      <c r="AL12" t="e">
        <f t="shared" si="2"/>
        <v>#VALUE!</v>
      </c>
    </row>
    <row r="13" spans="4:39" x14ac:dyDescent="0.25">
      <c r="D13" s="8"/>
      <c r="E13" s="10">
        <f t="shared" si="4"/>
        <v>4</v>
      </c>
      <c r="F13" s="5">
        <v>800</v>
      </c>
      <c r="G13" s="22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3"/>
      <c r="AI13" t="e">
        <f t="shared" si="3"/>
        <v>#VALUE!</v>
      </c>
      <c r="AJ13" t="e">
        <f t="shared" si="0"/>
        <v>#VALUE!</v>
      </c>
      <c r="AK13" t="e">
        <f t="shared" si="1"/>
        <v>#VALUE!</v>
      </c>
      <c r="AL13" t="e">
        <f t="shared" si="2"/>
        <v>#VALUE!</v>
      </c>
    </row>
    <row r="14" spans="4:39" x14ac:dyDescent="0.25">
      <c r="D14" s="8"/>
      <c r="E14" s="10">
        <f t="shared" si="4"/>
        <v>5</v>
      </c>
      <c r="F14" s="5">
        <v>800</v>
      </c>
      <c r="G14" s="22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 t="s">
        <v>82</v>
      </c>
      <c r="Y14" s="21"/>
      <c r="Z14" s="23"/>
      <c r="AI14" t="e">
        <f t="shared" si="3"/>
        <v>#VALUE!</v>
      </c>
      <c r="AJ14" t="e">
        <f t="shared" si="0"/>
        <v>#VALUE!</v>
      </c>
      <c r="AK14" t="e">
        <f t="shared" si="1"/>
        <v>#VALUE!</v>
      </c>
      <c r="AL14" t="e">
        <f t="shared" si="2"/>
        <v>#VALUE!</v>
      </c>
    </row>
    <row r="15" spans="4:39" x14ac:dyDescent="0.25">
      <c r="D15" s="8"/>
      <c r="E15" s="10">
        <f t="shared" si="4"/>
        <v>6</v>
      </c>
      <c r="F15" s="6">
        <v>1200</v>
      </c>
      <c r="G15" s="22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3"/>
      <c r="AI15" t="e">
        <f t="shared" si="3"/>
        <v>#VALUE!</v>
      </c>
      <c r="AJ15" t="e">
        <f t="shared" si="0"/>
        <v>#VALUE!</v>
      </c>
      <c r="AK15" t="e">
        <f t="shared" si="1"/>
        <v>#VALUE!</v>
      </c>
      <c r="AL15" t="e">
        <f t="shared" si="2"/>
        <v>#VALUE!</v>
      </c>
    </row>
    <row r="16" spans="4:39" x14ac:dyDescent="0.25">
      <c r="D16" s="8"/>
      <c r="E16" s="10">
        <f t="shared" si="4"/>
        <v>7</v>
      </c>
      <c r="F16" s="6">
        <v>1200</v>
      </c>
      <c r="G16" s="22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3"/>
      <c r="AI16" t="e">
        <f t="shared" si="3"/>
        <v>#VALUE!</v>
      </c>
      <c r="AJ16" t="e">
        <f t="shared" si="0"/>
        <v>#VALUE!</v>
      </c>
      <c r="AK16" t="e">
        <f t="shared" si="1"/>
        <v>#VALUE!</v>
      </c>
      <c r="AL16" t="e">
        <f t="shared" si="2"/>
        <v>#VALUE!</v>
      </c>
    </row>
    <row r="17" spans="4:38" x14ac:dyDescent="0.25">
      <c r="D17" s="8"/>
      <c r="E17" s="10">
        <f t="shared" si="4"/>
        <v>8</v>
      </c>
      <c r="F17" s="6">
        <v>1900</v>
      </c>
      <c r="G17" s="22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3"/>
      <c r="AI17" t="e">
        <f t="shared" si="3"/>
        <v>#VALUE!</v>
      </c>
      <c r="AJ17" t="e">
        <f t="shared" si="0"/>
        <v>#VALUE!</v>
      </c>
      <c r="AK17" t="e">
        <f t="shared" si="1"/>
        <v>#VALUE!</v>
      </c>
      <c r="AL17" t="e">
        <f t="shared" si="2"/>
        <v>#VALUE!</v>
      </c>
    </row>
    <row r="18" spans="4:38" x14ac:dyDescent="0.25">
      <c r="D18" s="8"/>
      <c r="E18" s="10" t="str">
        <f t="shared" si="4"/>
        <v/>
      </c>
      <c r="F18" s="6"/>
      <c r="G18" s="22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3"/>
      <c r="AI18" t="e">
        <f t="shared" si="3"/>
        <v>#VALUE!</v>
      </c>
      <c r="AJ18" t="e">
        <f t="shared" si="0"/>
        <v>#VALUE!</v>
      </c>
      <c r="AK18" t="e">
        <f t="shared" si="1"/>
        <v>#VALUE!</v>
      </c>
      <c r="AL18" t="e">
        <f t="shared" si="2"/>
        <v>#VALUE!</v>
      </c>
    </row>
    <row r="19" spans="4:38" x14ac:dyDescent="0.25">
      <c r="D19" s="8"/>
      <c r="E19" s="10" t="str">
        <f t="shared" si="4"/>
        <v/>
      </c>
      <c r="F19" s="6"/>
      <c r="G19" s="22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3"/>
      <c r="AI19" t="e">
        <f t="shared" si="3"/>
        <v>#VALUE!</v>
      </c>
      <c r="AJ19" t="e">
        <f t="shared" si="0"/>
        <v>#VALUE!</v>
      </c>
      <c r="AK19" t="e">
        <f t="shared" si="1"/>
        <v>#VALUE!</v>
      </c>
      <c r="AL19" t="e">
        <f t="shared" si="2"/>
        <v>#VALUE!</v>
      </c>
    </row>
    <row r="20" spans="4:38" x14ac:dyDescent="0.25">
      <c r="D20" s="8"/>
      <c r="E20" s="10" t="str">
        <f t="shared" si="4"/>
        <v/>
      </c>
      <c r="F20" s="6"/>
      <c r="G20" s="22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3"/>
      <c r="AI20" t="e">
        <f t="shared" si="3"/>
        <v>#VALUE!</v>
      </c>
      <c r="AJ20" t="e">
        <f t="shared" si="0"/>
        <v>#VALUE!</v>
      </c>
      <c r="AK20" t="e">
        <f t="shared" si="1"/>
        <v>#VALUE!</v>
      </c>
      <c r="AL20" t="e">
        <f t="shared" si="2"/>
        <v>#VALUE!</v>
      </c>
    </row>
    <row r="21" spans="4:38" x14ac:dyDescent="0.25">
      <c r="D21" s="8"/>
      <c r="E21" s="10" t="str">
        <f t="shared" si="4"/>
        <v/>
      </c>
      <c r="F21" s="6"/>
      <c r="G21" s="22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3"/>
      <c r="AI21" t="e">
        <f t="shared" si="3"/>
        <v>#VALUE!</v>
      </c>
      <c r="AJ21" t="e">
        <f t="shared" si="0"/>
        <v>#VALUE!</v>
      </c>
      <c r="AK21" t="e">
        <f t="shared" si="1"/>
        <v>#VALUE!</v>
      </c>
      <c r="AL21" t="e">
        <f t="shared" si="2"/>
        <v>#VALUE!</v>
      </c>
    </row>
    <row r="22" spans="4:38" x14ac:dyDescent="0.25">
      <c r="D22" s="8"/>
      <c r="E22" s="10" t="str">
        <f t="shared" si="4"/>
        <v/>
      </c>
      <c r="F22" s="6"/>
      <c r="G22" s="22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3"/>
      <c r="AI22" t="e">
        <f t="shared" si="3"/>
        <v>#VALUE!</v>
      </c>
      <c r="AJ22" t="e">
        <f t="shared" si="0"/>
        <v>#VALUE!</v>
      </c>
      <c r="AK22" t="e">
        <f t="shared" si="1"/>
        <v>#VALUE!</v>
      </c>
      <c r="AL22" t="e">
        <f t="shared" si="2"/>
        <v>#VALUE!</v>
      </c>
    </row>
    <row r="23" spans="4:38" x14ac:dyDescent="0.25">
      <c r="D23" s="8"/>
      <c r="E23" s="10" t="str">
        <f t="shared" si="4"/>
        <v/>
      </c>
      <c r="F23" s="6"/>
      <c r="G23" s="22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3"/>
      <c r="AI23" t="e">
        <f t="shared" si="3"/>
        <v>#VALUE!</v>
      </c>
      <c r="AJ23" t="e">
        <f t="shared" si="0"/>
        <v>#VALUE!</v>
      </c>
      <c r="AK23" t="e">
        <f t="shared" si="1"/>
        <v>#VALUE!</v>
      </c>
      <c r="AL23" t="e">
        <f t="shared" si="2"/>
        <v>#VALUE!</v>
      </c>
    </row>
    <row r="24" spans="4:38" x14ac:dyDescent="0.25">
      <c r="D24" s="8"/>
      <c r="E24" s="10" t="str">
        <f t="shared" si="4"/>
        <v/>
      </c>
      <c r="F24" s="6"/>
      <c r="G24" s="22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3"/>
      <c r="AI24" t="e">
        <f t="shared" si="3"/>
        <v>#VALUE!</v>
      </c>
      <c r="AJ24" t="e">
        <f t="shared" si="0"/>
        <v>#VALUE!</v>
      </c>
      <c r="AK24" t="e">
        <f t="shared" si="1"/>
        <v>#VALUE!</v>
      </c>
      <c r="AL24" t="e">
        <f t="shared" si="2"/>
        <v>#VALUE!</v>
      </c>
    </row>
    <row r="25" spans="4:38" x14ac:dyDescent="0.25">
      <c r="D25" s="8"/>
      <c r="E25" s="10" t="str">
        <f t="shared" si="4"/>
        <v/>
      </c>
      <c r="F25" s="6"/>
      <c r="G25" s="22"/>
      <c r="H25" s="21"/>
      <c r="I25" s="21"/>
      <c r="J25" s="21"/>
      <c r="K25" s="21"/>
      <c r="L25" s="21"/>
      <c r="M25" s="21"/>
      <c r="N25" s="21"/>
      <c r="O25" s="21"/>
      <c r="P25" s="21" t="s">
        <v>83</v>
      </c>
      <c r="Q25" s="21"/>
      <c r="R25" s="21"/>
      <c r="S25" s="21"/>
      <c r="T25" s="21"/>
      <c r="U25" s="21"/>
      <c r="V25" s="21"/>
      <c r="W25" s="21"/>
      <c r="X25" s="21"/>
      <c r="Y25" s="21"/>
      <c r="Z25" s="23"/>
    </row>
    <row r="26" spans="4:38" x14ac:dyDescent="0.25">
      <c r="D26" s="8"/>
      <c r="E26" s="10" t="str">
        <f t="shared" si="4"/>
        <v/>
      </c>
      <c r="F26" s="6"/>
      <c r="G26" s="22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3"/>
    </row>
    <row r="27" spans="4:38" x14ac:dyDescent="0.25">
      <c r="D27" s="8"/>
      <c r="E27" s="10" t="str">
        <f t="shared" si="4"/>
        <v/>
      </c>
      <c r="F27" s="6"/>
      <c r="G27" s="22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3"/>
    </row>
    <row r="28" spans="4:38" x14ac:dyDescent="0.25">
      <c r="D28" s="8"/>
      <c r="E28" s="10" t="str">
        <f t="shared" si="4"/>
        <v/>
      </c>
      <c r="F28" s="6"/>
      <c r="G28" s="22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3"/>
    </row>
    <row r="29" spans="4:38" ht="15.75" thickBot="1" x14ac:dyDescent="0.3">
      <c r="D29" s="11"/>
      <c r="E29" s="10" t="str">
        <f t="shared" si="4"/>
        <v/>
      </c>
      <c r="F29" s="12"/>
      <c r="G29" s="22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3"/>
    </row>
    <row r="30" spans="4:38" x14ac:dyDescent="0.25">
      <c r="D30" s="1"/>
      <c r="E30" s="2"/>
      <c r="F30" s="3"/>
      <c r="G30" s="22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3"/>
    </row>
    <row r="31" spans="4:38" x14ac:dyDescent="0.25">
      <c r="D31" s="35"/>
      <c r="E31" s="36"/>
      <c r="F31" s="37"/>
      <c r="G31" s="22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3"/>
    </row>
    <row r="32" spans="4:38" x14ac:dyDescent="0.25">
      <c r="D32" s="8"/>
      <c r="E32" s="10"/>
      <c r="F32" s="15"/>
      <c r="G32" s="22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3"/>
    </row>
    <row r="33" spans="3:26" x14ac:dyDescent="0.25">
      <c r="D33" s="8"/>
      <c r="E33" s="10"/>
      <c r="F33" s="15"/>
      <c r="G33" s="22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3"/>
    </row>
    <row r="34" spans="3:26" x14ac:dyDescent="0.25">
      <c r="D34" s="8"/>
      <c r="E34" s="10"/>
      <c r="F34" s="18"/>
      <c r="G34" s="22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3"/>
    </row>
    <row r="35" spans="3:26" x14ac:dyDescent="0.25">
      <c r="D35" s="8"/>
      <c r="E35" s="17"/>
      <c r="F35" s="16"/>
      <c r="G35" s="22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3"/>
    </row>
    <row r="36" spans="3:26" x14ac:dyDescent="0.25">
      <c r="D36" s="8"/>
      <c r="E36" s="10"/>
      <c r="F36" s="15"/>
      <c r="G36" s="22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3"/>
    </row>
    <row r="37" spans="3:26" x14ac:dyDescent="0.25">
      <c r="D37" s="8"/>
      <c r="E37" s="10"/>
      <c r="F37" s="15"/>
      <c r="G37" s="22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3"/>
    </row>
    <row r="38" spans="3:26" x14ac:dyDescent="0.25">
      <c r="D38" s="8"/>
      <c r="E38" s="10"/>
      <c r="F38" s="15"/>
      <c r="G38" s="22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3"/>
    </row>
    <row r="39" spans="3:26" x14ac:dyDescent="0.25">
      <c r="D39" s="8"/>
      <c r="E39" s="10"/>
      <c r="F39" s="15"/>
      <c r="G39" s="22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3"/>
    </row>
    <row r="40" spans="3:26" x14ac:dyDescent="0.25">
      <c r="D40" s="8"/>
      <c r="E40" s="10"/>
      <c r="F40" s="15"/>
      <c r="G40" s="22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3"/>
    </row>
    <row r="41" spans="3:26" x14ac:dyDescent="0.25">
      <c r="D41" s="8"/>
      <c r="E41" s="38"/>
      <c r="F41" s="15"/>
      <c r="G41" s="22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3"/>
    </row>
    <row r="42" spans="3:26" x14ac:dyDescent="0.25">
      <c r="D42" s="8"/>
      <c r="E42" s="38"/>
      <c r="F42" s="15"/>
      <c r="G42" s="22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3"/>
    </row>
    <row r="43" spans="3:26" ht="15.75" thickBot="1" x14ac:dyDescent="0.3">
      <c r="D43" s="11"/>
      <c r="E43" s="39"/>
      <c r="F43" s="14"/>
      <c r="G43" s="2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6"/>
    </row>
    <row r="44" spans="3:26" x14ac:dyDescent="0.25">
      <c r="C44" s="13"/>
      <c r="D44" s="13"/>
      <c r="E44" s="13"/>
      <c r="F44" s="13"/>
      <c r="G44" s="13"/>
    </row>
    <row r="45" spans="3:26" x14ac:dyDescent="0.25">
      <c r="C45" s="13"/>
      <c r="D45" s="13"/>
      <c r="E45" s="13"/>
      <c r="F45" s="13"/>
      <c r="G45" s="13"/>
    </row>
    <row r="46" spans="3:26" x14ac:dyDescent="0.25">
      <c r="C46" s="13"/>
      <c r="D46" s="13"/>
      <c r="E46" s="13"/>
      <c r="F46" s="13"/>
      <c r="G46" s="13"/>
    </row>
    <row r="47" spans="3:26" x14ac:dyDescent="0.25">
      <c r="C47" s="13"/>
      <c r="D47" s="13"/>
      <c r="E47" s="13"/>
      <c r="F47" s="13"/>
      <c r="G47" s="13"/>
    </row>
    <row r="48" spans="3:26" x14ac:dyDescent="0.25">
      <c r="C48" s="13"/>
      <c r="D48" s="13"/>
      <c r="E48" s="13"/>
      <c r="F48" s="13"/>
      <c r="G48" s="13"/>
    </row>
    <row r="49" spans="3:7" x14ac:dyDescent="0.25">
      <c r="C49" s="13"/>
      <c r="D49" s="13"/>
      <c r="E49" s="13"/>
      <c r="F49" s="13"/>
      <c r="G49" s="13"/>
    </row>
    <row r="50" spans="3:7" x14ac:dyDescent="0.25">
      <c r="C50" s="13"/>
      <c r="D50" s="13"/>
      <c r="E50" s="13"/>
      <c r="F50" s="13"/>
      <c r="G50" s="13"/>
    </row>
    <row r="51" spans="3:7" x14ac:dyDescent="0.25">
      <c r="C51" s="13"/>
      <c r="D51" s="13"/>
      <c r="E51" s="13"/>
      <c r="F51" s="13"/>
      <c r="G51" s="13"/>
    </row>
    <row r="52" spans="3:7" x14ac:dyDescent="0.25">
      <c r="C52" s="13"/>
      <c r="D52" s="13"/>
      <c r="E52" s="13"/>
      <c r="F52" s="13"/>
      <c r="G52" s="13"/>
    </row>
    <row r="53" spans="3:7" x14ac:dyDescent="0.25">
      <c r="C53" s="13"/>
      <c r="D53" s="13"/>
      <c r="E53" s="13"/>
      <c r="F53" s="13"/>
      <c r="G53" s="13"/>
    </row>
    <row r="54" spans="3:7" x14ac:dyDescent="0.25">
      <c r="C54" s="13"/>
      <c r="D54" s="13"/>
      <c r="E54" s="13"/>
      <c r="F54" s="13"/>
      <c r="G54" s="13"/>
    </row>
    <row r="55" spans="3:7" x14ac:dyDescent="0.25">
      <c r="C55" s="13"/>
      <c r="D55" s="13"/>
      <c r="E55" s="13"/>
      <c r="F55" s="13"/>
      <c r="G55" s="13"/>
    </row>
    <row r="56" spans="3:7" x14ac:dyDescent="0.25">
      <c r="C56" s="13"/>
      <c r="D56" s="13"/>
      <c r="E56" s="13"/>
      <c r="F56" s="13"/>
      <c r="G56" s="13"/>
    </row>
    <row r="57" spans="3:7" x14ac:dyDescent="0.25">
      <c r="C57" s="13"/>
      <c r="D57" s="13"/>
      <c r="E57" s="13"/>
      <c r="F57" s="13"/>
      <c r="G57" s="13"/>
    </row>
    <row r="58" spans="3:7" x14ac:dyDescent="0.25">
      <c r="C58" s="13"/>
      <c r="D58" s="13"/>
      <c r="E58" s="13"/>
      <c r="F58" s="13"/>
      <c r="G58" s="13"/>
    </row>
    <row r="59" spans="3:7" x14ac:dyDescent="0.25">
      <c r="C59" s="13"/>
      <c r="D59" s="13"/>
      <c r="E59" s="13"/>
      <c r="F59" s="13"/>
      <c r="G59" s="13"/>
    </row>
    <row r="60" spans="3:7" x14ac:dyDescent="0.25">
      <c r="C60" s="13"/>
      <c r="D60" s="13"/>
      <c r="E60" s="13"/>
      <c r="F60" s="13"/>
      <c r="G60" s="13"/>
    </row>
    <row r="61" spans="3:7" x14ac:dyDescent="0.25">
      <c r="C61" s="13"/>
      <c r="D61" s="13"/>
      <c r="E61" s="13"/>
      <c r="F61" s="13"/>
      <c r="G61" s="13"/>
    </row>
    <row r="62" spans="3:7" x14ac:dyDescent="0.25">
      <c r="C62" s="13"/>
      <c r="D62" s="13"/>
      <c r="E62" s="13"/>
      <c r="F62" s="13"/>
      <c r="G62" s="13"/>
    </row>
    <row r="63" spans="3:7" x14ac:dyDescent="0.25">
      <c r="C63" s="13"/>
      <c r="D63" s="13"/>
      <c r="E63" s="13"/>
      <c r="F63" s="13"/>
      <c r="G63" s="13"/>
    </row>
    <row r="64" spans="3:7" x14ac:dyDescent="0.25">
      <c r="C64" s="13"/>
      <c r="D64" s="13"/>
      <c r="E64" s="13"/>
      <c r="F64" s="13"/>
      <c r="G64" s="13"/>
    </row>
    <row r="65" spans="1:11" x14ac:dyDescent="0.25">
      <c r="C65" s="13"/>
      <c r="D65" s="13"/>
      <c r="E65" s="13"/>
      <c r="F65" s="13"/>
      <c r="G65" s="13"/>
      <c r="H65" s="13"/>
      <c r="I65" s="13"/>
      <c r="J65" s="13"/>
      <c r="K65" s="13"/>
    </row>
    <row r="66" spans="1:11" x14ac:dyDescent="0.25">
      <c r="C66" s="13"/>
      <c r="D66" s="13"/>
      <c r="E66" s="13"/>
      <c r="F66" s="13"/>
      <c r="G66" s="13"/>
      <c r="H66" s="13"/>
      <c r="I66" s="13"/>
      <c r="J66" s="13"/>
      <c r="K66" s="13"/>
    </row>
    <row r="67" spans="1:11" x14ac:dyDescent="0.25">
      <c r="C67" s="13"/>
      <c r="D67" s="13"/>
      <c r="E67" s="13"/>
      <c r="F67" s="13"/>
      <c r="G67" s="13"/>
      <c r="H67" s="13"/>
      <c r="I67" s="13"/>
      <c r="J67" s="13"/>
      <c r="K67" s="13"/>
    </row>
    <row r="68" spans="1:11" x14ac:dyDescent="0.25">
      <c r="C68" s="13"/>
      <c r="D68" s="13"/>
      <c r="E68" s="13"/>
      <c r="F68" s="13"/>
      <c r="G68" s="13"/>
      <c r="H68" s="13"/>
      <c r="I68" s="13"/>
      <c r="J68" s="13"/>
      <c r="K68" s="13"/>
    </row>
    <row r="69" spans="1:11" x14ac:dyDescent="0.25">
      <c r="C69" s="13"/>
      <c r="D69" s="13"/>
      <c r="E69" s="13"/>
      <c r="F69" s="13"/>
      <c r="G69" s="13"/>
      <c r="H69" s="13"/>
      <c r="I69" s="13"/>
      <c r="J69" s="13"/>
      <c r="K69" s="13"/>
    </row>
    <row r="70" spans="1:11" x14ac:dyDescent="0.25">
      <c r="C70" s="13"/>
      <c r="D70" s="13"/>
      <c r="E70" s="13"/>
      <c r="F70" s="13"/>
      <c r="G70" s="13"/>
      <c r="H70" s="13"/>
      <c r="I70" s="13"/>
      <c r="J70" s="13"/>
      <c r="K70" s="13"/>
    </row>
    <row r="71" spans="1:11" x14ac:dyDescent="0.25">
      <c r="C71" s="13"/>
      <c r="D71" s="13"/>
      <c r="E71" s="13"/>
      <c r="F71" s="13"/>
      <c r="G71" s="13"/>
      <c r="H71" s="13"/>
      <c r="I71" s="13"/>
      <c r="J71" s="13"/>
      <c r="K71" s="13"/>
    </row>
    <row r="72" spans="1:11" x14ac:dyDescent="0.25">
      <c r="C72" s="13"/>
      <c r="D72" s="13"/>
      <c r="E72" s="13"/>
      <c r="F72" s="13"/>
      <c r="G72" s="13"/>
      <c r="H72" s="13"/>
      <c r="I72" s="13"/>
      <c r="J72" s="13"/>
      <c r="K72" s="13"/>
    </row>
    <row r="73" spans="1:11" x14ac:dyDescent="0.25">
      <c r="C73" s="13"/>
      <c r="D73" s="13"/>
      <c r="E73" s="13"/>
      <c r="F73" s="13"/>
      <c r="G73" s="13"/>
      <c r="H73" s="13"/>
      <c r="I73" s="13"/>
      <c r="J73" s="13"/>
      <c r="K73" s="13"/>
    </row>
    <row r="74" spans="1:11" x14ac:dyDescent="0.25">
      <c r="C74" s="13"/>
      <c r="D74" s="13"/>
      <c r="E74" s="13"/>
      <c r="F74" s="13"/>
      <c r="G74" s="13"/>
      <c r="H74" s="13"/>
      <c r="I74" s="13"/>
      <c r="J74" s="13"/>
      <c r="K74" s="13"/>
    </row>
    <row r="75" spans="1:11" x14ac:dyDescent="0.25">
      <c r="C75" s="13"/>
      <c r="D75" s="13"/>
      <c r="E75" s="13"/>
      <c r="F75" s="13"/>
      <c r="G75" s="13"/>
      <c r="H75" s="13"/>
      <c r="I75" s="13"/>
      <c r="J75" s="13"/>
      <c r="K75" s="13"/>
    </row>
    <row r="76" spans="1:11" x14ac:dyDescent="0.25">
      <c r="C76" s="13"/>
      <c r="D76" s="13"/>
      <c r="E76" s="13"/>
      <c r="F76" s="13"/>
      <c r="G76" s="13"/>
      <c r="H76" s="13"/>
      <c r="I76" s="13"/>
      <c r="J76" s="13"/>
      <c r="K76" s="13"/>
    </row>
    <row r="77" spans="1:11" x14ac:dyDescent="0.25">
      <c r="C77" s="13"/>
      <c r="D77" s="13"/>
      <c r="E77" s="13"/>
      <c r="F77" s="13"/>
      <c r="G77" s="13"/>
      <c r="H77" s="13"/>
      <c r="I77" s="13"/>
      <c r="J77" s="13"/>
      <c r="K77" s="13"/>
    </row>
    <row r="78" spans="1:11" x14ac:dyDescent="0.25">
      <c r="C78" s="13"/>
      <c r="D78" s="13"/>
      <c r="E78" s="13"/>
      <c r="F78" s="13"/>
      <c r="G78" s="13"/>
      <c r="H78" s="13"/>
      <c r="I78" s="13"/>
      <c r="J78" s="13"/>
      <c r="K78" s="13"/>
    </row>
    <row r="79" spans="1:11" x14ac:dyDescent="0.2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</row>
    <row r="80" spans="1:11" x14ac:dyDescent="0.25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</row>
    <row r="81" spans="1:11" x14ac:dyDescent="0.25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</row>
    <row r="82" spans="1:11" x14ac:dyDescent="0.25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</row>
    <row r="83" spans="1:11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</row>
    <row r="84" spans="1:11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</row>
    <row r="85" spans="1:11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</row>
    <row r="86" spans="1:11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</row>
    <row r="87" spans="1:11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</row>
    <row r="88" spans="1:11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</row>
    <row r="89" spans="1:11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</row>
    <row r="90" spans="1:11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</row>
    <row r="91" spans="1:11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</row>
    <row r="92" spans="1:11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</row>
    <row r="93" spans="1:11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</row>
    <row r="94" spans="1:11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</row>
    <row r="95" spans="1:11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</row>
    <row r="96" spans="1:11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</row>
    <row r="97" spans="1:11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</row>
    <row r="98" spans="1:11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</row>
    <row r="99" spans="1:11" x14ac:dyDescent="0.25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</row>
    <row r="100" spans="1:11" x14ac:dyDescent="0.25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</row>
    <row r="101" spans="1:11" x14ac:dyDescent="0.25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</row>
  </sheetData>
  <dataConsolidate/>
  <mergeCells count="11">
    <mergeCell ref="D6:E6"/>
    <mergeCell ref="D31:F31"/>
    <mergeCell ref="E41:E43"/>
    <mergeCell ref="D7:E7"/>
    <mergeCell ref="D8:E8"/>
    <mergeCell ref="D9:E9"/>
    <mergeCell ref="G1:Z1"/>
    <mergeCell ref="D1:F1"/>
    <mergeCell ref="D3:E3"/>
    <mergeCell ref="D4:E4"/>
    <mergeCell ref="D5:E5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popUp_HX_list">
              <controlPr defaultSize="0" autoLine="0" autoPict="0">
                <anchor moveWithCells="1">
                  <from>
                    <xdr:col>5</xdr:col>
                    <xdr:colOff>0</xdr:colOff>
                    <xdr:row>6</xdr:row>
                    <xdr:rowOff>171450</xdr:rowOff>
                  </from>
                  <to>
                    <xdr:col>5</xdr:col>
                    <xdr:colOff>1133475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defaultSize="0" print="0" autoFill="0" autoPict="0" macro="[0]!button_run_Optimization_click">
                <anchor moveWithCells="1" sizeWithCells="1">
                  <from>
                    <xdr:col>4</xdr:col>
                    <xdr:colOff>2076450</xdr:colOff>
                    <xdr:row>37</xdr:row>
                    <xdr:rowOff>47625</xdr:rowOff>
                  </from>
                  <to>
                    <xdr:col>5</xdr:col>
                    <xdr:colOff>800100</xdr:colOff>
                    <xdr:row>39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A0768-B72F-46D2-AB80-DB5C8D25554A}">
  <sheetPr codeName="List5"/>
  <dimension ref="B2:S23"/>
  <sheetViews>
    <sheetView workbookViewId="0">
      <selection activeCell="L32" sqref="L32"/>
    </sheetView>
  </sheetViews>
  <sheetFormatPr defaultRowHeight="15" x14ac:dyDescent="0.25"/>
  <cols>
    <col min="17" max="17" width="10.7109375" customWidth="1"/>
  </cols>
  <sheetData>
    <row r="2" spans="2:19" x14ac:dyDescent="0.25"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66</v>
      </c>
      <c r="H2" t="s">
        <v>4</v>
      </c>
      <c r="I2" t="s">
        <v>5</v>
      </c>
      <c r="K2" t="s">
        <v>19</v>
      </c>
      <c r="L2" t="s">
        <v>20</v>
      </c>
      <c r="N2" t="s">
        <v>21</v>
      </c>
      <c r="P2" t="s">
        <v>22</v>
      </c>
      <c r="Q2" t="s">
        <v>23</v>
      </c>
      <c r="R2" t="s">
        <v>24</v>
      </c>
      <c r="S2" t="s">
        <v>14</v>
      </c>
    </row>
    <row r="3" spans="2:19" x14ac:dyDescent="0.25">
      <c r="B3">
        <v>1</v>
      </c>
      <c r="C3">
        <v>75</v>
      </c>
      <c r="D3">
        <v>65</v>
      </c>
      <c r="E3">
        <v>20</v>
      </c>
      <c r="F3">
        <v>330</v>
      </c>
      <c r="G3">
        <f>(D3-E3)/(C3-E3)</f>
        <v>0.81818181818181823</v>
      </c>
      <c r="H3">
        <f t="shared" ref="H3:H23" si="0">-G3/4185/LN((D3-E3)/(C3-E3))*3600</f>
        <v>3.5072999328309495</v>
      </c>
      <c r="I3">
        <f>IF(G3&gt;=0.7,(C3+D3)/2-E3,(C3-D3)/(LN((C3-E3)/(D3-E3))))</f>
        <v>50</v>
      </c>
      <c r="K3" t="s">
        <v>25</v>
      </c>
      <c r="L3">
        <v>300</v>
      </c>
      <c r="N3">
        <f xml:space="preserve"> COUNT(G:G)</f>
        <v>21</v>
      </c>
      <c r="P3">
        <v>6.6</v>
      </c>
      <c r="Q3">
        <v>1</v>
      </c>
      <c r="R3">
        <v>330</v>
      </c>
      <c r="S3">
        <v>1</v>
      </c>
    </row>
    <row r="4" spans="2:19" x14ac:dyDescent="0.25">
      <c r="B4">
        <v>2</v>
      </c>
      <c r="C4">
        <v>75</v>
      </c>
      <c r="D4">
        <v>65</v>
      </c>
      <c r="E4">
        <v>20</v>
      </c>
      <c r="F4">
        <v>423</v>
      </c>
      <c r="G4">
        <f t="shared" ref="G4:G23" si="1">(D4-E4)/(C4-E4)</f>
        <v>0.81818181818181823</v>
      </c>
      <c r="H4">
        <f t="shared" si="0"/>
        <v>3.5072999328309495</v>
      </c>
      <c r="I4">
        <f t="shared" ref="I4:I23" si="2">IF(G4&gt;=0.7,(C4+D4)/2-E4,(C4-D4)/LN((C4-E4)/(D4-E4)))</f>
        <v>50</v>
      </c>
      <c r="K4" t="s">
        <v>25</v>
      </c>
      <c r="L4">
        <v>400</v>
      </c>
      <c r="P4">
        <v>8.4600000000000009</v>
      </c>
      <c r="Q4">
        <v>2</v>
      </c>
      <c r="R4">
        <v>423</v>
      </c>
      <c r="S4">
        <v>2</v>
      </c>
    </row>
    <row r="5" spans="2:19" x14ac:dyDescent="0.25">
      <c r="B5">
        <v>3</v>
      </c>
      <c r="C5">
        <v>75</v>
      </c>
      <c r="D5">
        <v>65</v>
      </c>
      <c r="E5">
        <v>20</v>
      </c>
      <c r="F5">
        <v>514</v>
      </c>
      <c r="G5">
        <f t="shared" si="1"/>
        <v>0.81818181818181823</v>
      </c>
      <c r="H5">
        <f t="shared" si="0"/>
        <v>3.5072999328309495</v>
      </c>
      <c r="I5">
        <f t="shared" si="2"/>
        <v>50</v>
      </c>
      <c r="K5" t="s">
        <v>25</v>
      </c>
      <c r="L5">
        <v>500</v>
      </c>
      <c r="P5">
        <v>10.28</v>
      </c>
      <c r="Q5">
        <v>3</v>
      </c>
      <c r="R5">
        <v>514</v>
      </c>
      <c r="S5">
        <v>3</v>
      </c>
    </row>
    <row r="6" spans="2:19" x14ac:dyDescent="0.25">
      <c r="B6">
        <v>4</v>
      </c>
      <c r="C6">
        <v>75</v>
      </c>
      <c r="D6">
        <v>65</v>
      </c>
      <c r="E6">
        <v>20</v>
      </c>
      <c r="F6">
        <v>604</v>
      </c>
      <c r="G6">
        <f t="shared" si="1"/>
        <v>0.81818181818181823</v>
      </c>
      <c r="H6">
        <f t="shared" si="0"/>
        <v>3.5072999328309495</v>
      </c>
      <c r="I6">
        <f t="shared" si="2"/>
        <v>50</v>
      </c>
      <c r="K6" t="s">
        <v>25</v>
      </c>
      <c r="L6">
        <v>600</v>
      </c>
      <c r="P6">
        <v>10.98</v>
      </c>
      <c r="Q6">
        <v>7</v>
      </c>
      <c r="R6">
        <v>549</v>
      </c>
      <c r="S6">
        <v>7</v>
      </c>
    </row>
    <row r="7" spans="2:19" x14ac:dyDescent="0.25">
      <c r="B7">
        <v>5</v>
      </c>
      <c r="C7">
        <v>75</v>
      </c>
      <c r="D7">
        <v>65</v>
      </c>
      <c r="E7">
        <v>20</v>
      </c>
      <c r="F7">
        <v>694</v>
      </c>
      <c r="G7">
        <f t="shared" si="1"/>
        <v>0.81818181818181823</v>
      </c>
      <c r="H7">
        <f t="shared" si="0"/>
        <v>3.5072999328309495</v>
      </c>
      <c r="I7">
        <f t="shared" si="2"/>
        <v>50</v>
      </c>
      <c r="K7" t="s">
        <v>25</v>
      </c>
      <c r="L7">
        <v>700</v>
      </c>
      <c r="P7">
        <v>12.08</v>
      </c>
      <c r="Q7">
        <v>4</v>
      </c>
      <c r="R7">
        <v>604</v>
      </c>
      <c r="S7">
        <v>4</v>
      </c>
    </row>
    <row r="8" spans="2:19" x14ac:dyDescent="0.25">
      <c r="B8">
        <v>6</v>
      </c>
      <c r="C8">
        <v>75</v>
      </c>
      <c r="D8">
        <v>65</v>
      </c>
      <c r="E8">
        <v>20</v>
      </c>
      <c r="F8">
        <v>875</v>
      </c>
      <c r="G8">
        <f t="shared" si="1"/>
        <v>0.81818181818181823</v>
      </c>
      <c r="H8">
        <f t="shared" si="0"/>
        <v>3.5072999328309495</v>
      </c>
      <c r="I8">
        <f t="shared" si="2"/>
        <v>50</v>
      </c>
      <c r="K8" t="s">
        <v>25</v>
      </c>
      <c r="L8">
        <v>900</v>
      </c>
      <c r="P8">
        <v>13.88</v>
      </c>
      <c r="Q8">
        <v>5</v>
      </c>
      <c r="R8">
        <v>694</v>
      </c>
      <c r="S8">
        <v>5</v>
      </c>
    </row>
    <row r="9" spans="2:19" x14ac:dyDescent="0.25">
      <c r="B9">
        <v>7</v>
      </c>
      <c r="C9">
        <v>75</v>
      </c>
      <c r="D9">
        <v>65</v>
      </c>
      <c r="E9">
        <v>20</v>
      </c>
      <c r="F9">
        <v>549</v>
      </c>
      <c r="G9">
        <f t="shared" si="1"/>
        <v>0.81818181818181823</v>
      </c>
      <c r="H9">
        <f t="shared" si="0"/>
        <v>3.5072999328309495</v>
      </c>
      <c r="I9">
        <f t="shared" si="2"/>
        <v>50</v>
      </c>
      <c r="K9" t="s">
        <v>26</v>
      </c>
      <c r="L9">
        <v>300</v>
      </c>
      <c r="P9">
        <v>14.16</v>
      </c>
      <c r="Q9">
        <v>8</v>
      </c>
      <c r="R9">
        <v>708</v>
      </c>
      <c r="S9">
        <v>8</v>
      </c>
    </row>
    <row r="10" spans="2:19" x14ac:dyDescent="0.25">
      <c r="B10">
        <v>8</v>
      </c>
      <c r="C10">
        <v>75</v>
      </c>
      <c r="D10">
        <v>65</v>
      </c>
      <c r="E10">
        <v>20</v>
      </c>
      <c r="F10">
        <v>708</v>
      </c>
      <c r="G10">
        <f t="shared" si="1"/>
        <v>0.81818181818181823</v>
      </c>
      <c r="H10">
        <f t="shared" si="0"/>
        <v>3.5072999328309495</v>
      </c>
      <c r="I10">
        <f t="shared" si="2"/>
        <v>50</v>
      </c>
      <c r="K10" t="s">
        <v>26</v>
      </c>
      <c r="L10">
        <v>400</v>
      </c>
      <c r="P10">
        <v>14.9</v>
      </c>
      <c r="Q10">
        <v>16</v>
      </c>
      <c r="R10">
        <v>745</v>
      </c>
      <c r="S10">
        <v>16</v>
      </c>
    </row>
    <row r="11" spans="2:19" x14ac:dyDescent="0.25">
      <c r="B11">
        <v>9</v>
      </c>
      <c r="C11">
        <v>75</v>
      </c>
      <c r="D11">
        <v>65</v>
      </c>
      <c r="E11">
        <v>20</v>
      </c>
      <c r="F11">
        <v>858</v>
      </c>
      <c r="G11">
        <f t="shared" si="1"/>
        <v>0.81818181818181823</v>
      </c>
      <c r="H11">
        <f t="shared" si="0"/>
        <v>3.5072999328309495</v>
      </c>
      <c r="I11">
        <f t="shared" si="2"/>
        <v>50</v>
      </c>
      <c r="K11" t="s">
        <v>26</v>
      </c>
      <c r="L11">
        <v>500</v>
      </c>
      <c r="P11">
        <v>16.760000000000002</v>
      </c>
      <c r="Q11">
        <v>13</v>
      </c>
      <c r="R11">
        <v>838</v>
      </c>
      <c r="S11">
        <v>13</v>
      </c>
    </row>
    <row r="12" spans="2:19" x14ac:dyDescent="0.25">
      <c r="B12">
        <v>10</v>
      </c>
      <c r="C12">
        <v>75</v>
      </c>
      <c r="D12">
        <v>65</v>
      </c>
      <c r="E12">
        <v>20</v>
      </c>
      <c r="F12">
        <v>1002</v>
      </c>
      <c r="G12">
        <f t="shared" si="1"/>
        <v>0.81818181818181823</v>
      </c>
      <c r="H12">
        <f t="shared" si="0"/>
        <v>3.5072999328309495</v>
      </c>
      <c r="I12">
        <f t="shared" si="2"/>
        <v>50</v>
      </c>
      <c r="K12" t="s">
        <v>26</v>
      </c>
      <c r="L12">
        <v>600</v>
      </c>
      <c r="P12">
        <v>17.16</v>
      </c>
      <c r="Q12">
        <v>9</v>
      </c>
      <c r="R12">
        <v>858</v>
      </c>
      <c r="S12">
        <v>9</v>
      </c>
    </row>
    <row r="13" spans="2:19" x14ac:dyDescent="0.25">
      <c r="B13">
        <v>11</v>
      </c>
      <c r="C13">
        <v>75</v>
      </c>
      <c r="D13">
        <v>65</v>
      </c>
      <c r="E13">
        <v>20</v>
      </c>
      <c r="F13">
        <v>1139</v>
      </c>
      <c r="G13">
        <f t="shared" si="1"/>
        <v>0.81818181818181823</v>
      </c>
      <c r="H13">
        <f t="shared" si="0"/>
        <v>3.5072999328309495</v>
      </c>
      <c r="I13">
        <f t="shared" si="2"/>
        <v>50</v>
      </c>
      <c r="K13" t="s">
        <v>26</v>
      </c>
      <c r="L13">
        <v>700</v>
      </c>
      <c r="P13">
        <v>17.5</v>
      </c>
      <c r="Q13">
        <v>6</v>
      </c>
      <c r="R13">
        <v>875</v>
      </c>
      <c r="S13">
        <v>6</v>
      </c>
    </row>
    <row r="14" spans="2:19" x14ac:dyDescent="0.25">
      <c r="B14">
        <v>12</v>
      </c>
      <c r="C14">
        <v>75</v>
      </c>
      <c r="D14">
        <v>65</v>
      </c>
      <c r="E14">
        <v>20</v>
      </c>
      <c r="F14">
        <v>1394</v>
      </c>
      <c r="G14">
        <f t="shared" si="1"/>
        <v>0.81818181818181823</v>
      </c>
      <c r="H14">
        <f t="shared" si="0"/>
        <v>3.5072999328309495</v>
      </c>
      <c r="I14">
        <f t="shared" si="2"/>
        <v>50</v>
      </c>
      <c r="K14" t="s">
        <v>26</v>
      </c>
      <c r="L14">
        <v>900</v>
      </c>
      <c r="P14">
        <v>18.739999999999998</v>
      </c>
      <c r="Q14">
        <v>17</v>
      </c>
      <c r="R14">
        <v>937</v>
      </c>
      <c r="S14">
        <v>17</v>
      </c>
    </row>
    <row r="15" spans="2:19" x14ac:dyDescent="0.25">
      <c r="B15">
        <v>13</v>
      </c>
      <c r="C15">
        <v>75</v>
      </c>
      <c r="D15">
        <v>65</v>
      </c>
      <c r="E15">
        <v>20</v>
      </c>
      <c r="F15">
        <v>838</v>
      </c>
      <c r="G15">
        <f t="shared" si="1"/>
        <v>0.81818181818181823</v>
      </c>
      <c r="H15">
        <f t="shared" si="0"/>
        <v>3.5072999328309495</v>
      </c>
      <c r="I15">
        <f t="shared" si="2"/>
        <v>50</v>
      </c>
      <c r="K15" t="s">
        <v>27</v>
      </c>
      <c r="L15">
        <v>500</v>
      </c>
      <c r="P15">
        <v>19.559999999999999</v>
      </c>
      <c r="Q15">
        <v>14</v>
      </c>
      <c r="R15">
        <v>978</v>
      </c>
      <c r="S15">
        <v>14</v>
      </c>
    </row>
    <row r="16" spans="2:19" x14ac:dyDescent="0.25">
      <c r="B16">
        <v>14</v>
      </c>
      <c r="C16">
        <v>75</v>
      </c>
      <c r="D16">
        <v>65</v>
      </c>
      <c r="E16">
        <v>20</v>
      </c>
      <c r="F16">
        <v>978</v>
      </c>
      <c r="G16">
        <f t="shared" si="1"/>
        <v>0.81818181818181823</v>
      </c>
      <c r="H16">
        <f t="shared" si="0"/>
        <v>3.5072999328309495</v>
      </c>
      <c r="I16">
        <f t="shared" si="2"/>
        <v>50</v>
      </c>
      <c r="K16" t="s">
        <v>27</v>
      </c>
      <c r="L16">
        <v>600</v>
      </c>
      <c r="P16">
        <v>20.04</v>
      </c>
      <c r="Q16">
        <v>10</v>
      </c>
      <c r="R16">
        <v>1002</v>
      </c>
      <c r="S16">
        <v>10</v>
      </c>
    </row>
    <row r="17" spans="2:19" x14ac:dyDescent="0.25">
      <c r="B17">
        <v>15</v>
      </c>
      <c r="C17">
        <v>75</v>
      </c>
      <c r="D17">
        <v>65</v>
      </c>
      <c r="E17">
        <v>20</v>
      </c>
      <c r="F17">
        <v>1117</v>
      </c>
      <c r="G17">
        <f t="shared" si="1"/>
        <v>0.81818181818181823</v>
      </c>
      <c r="H17">
        <f t="shared" si="0"/>
        <v>3.5072999328309495</v>
      </c>
      <c r="I17">
        <f t="shared" si="2"/>
        <v>50</v>
      </c>
      <c r="K17" t="s">
        <v>27</v>
      </c>
      <c r="L17">
        <v>700</v>
      </c>
      <c r="P17">
        <v>22.34</v>
      </c>
      <c r="Q17">
        <v>15</v>
      </c>
      <c r="R17">
        <v>1117</v>
      </c>
      <c r="S17">
        <v>15</v>
      </c>
    </row>
    <row r="18" spans="2:19" x14ac:dyDescent="0.25">
      <c r="B18">
        <v>16</v>
      </c>
      <c r="C18">
        <v>75</v>
      </c>
      <c r="D18">
        <v>65</v>
      </c>
      <c r="E18">
        <v>20</v>
      </c>
      <c r="F18">
        <v>745</v>
      </c>
      <c r="G18">
        <f t="shared" si="1"/>
        <v>0.81818181818181823</v>
      </c>
      <c r="H18">
        <f t="shared" si="0"/>
        <v>3.5072999328309495</v>
      </c>
      <c r="I18">
        <f t="shared" si="2"/>
        <v>50</v>
      </c>
      <c r="K18" t="s">
        <v>28</v>
      </c>
      <c r="L18">
        <v>300</v>
      </c>
      <c r="P18">
        <v>22.34</v>
      </c>
      <c r="Q18">
        <v>18</v>
      </c>
      <c r="R18">
        <v>1117</v>
      </c>
      <c r="S18">
        <v>18</v>
      </c>
    </row>
    <row r="19" spans="2:19" x14ac:dyDescent="0.25">
      <c r="B19">
        <v>17</v>
      </c>
      <c r="C19">
        <v>75</v>
      </c>
      <c r="D19">
        <v>65</v>
      </c>
      <c r="E19">
        <v>20</v>
      </c>
      <c r="F19">
        <v>937</v>
      </c>
      <c r="G19">
        <f t="shared" si="1"/>
        <v>0.81818181818181823</v>
      </c>
      <c r="H19">
        <f t="shared" si="0"/>
        <v>3.5072999328309495</v>
      </c>
      <c r="I19">
        <f t="shared" si="2"/>
        <v>50</v>
      </c>
      <c r="K19" t="s">
        <v>28</v>
      </c>
      <c r="L19">
        <v>400</v>
      </c>
      <c r="P19">
        <v>22.78</v>
      </c>
      <c r="Q19">
        <v>11</v>
      </c>
      <c r="R19">
        <v>1139</v>
      </c>
      <c r="S19">
        <v>11</v>
      </c>
    </row>
    <row r="20" spans="2:19" x14ac:dyDescent="0.25">
      <c r="B20">
        <v>18</v>
      </c>
      <c r="C20">
        <v>75</v>
      </c>
      <c r="D20">
        <v>65</v>
      </c>
      <c r="E20">
        <v>20</v>
      </c>
      <c r="F20">
        <v>1117</v>
      </c>
      <c r="G20">
        <f t="shared" si="1"/>
        <v>0.81818181818181823</v>
      </c>
      <c r="H20">
        <f t="shared" si="0"/>
        <v>3.5072999328309495</v>
      </c>
      <c r="I20">
        <f t="shared" si="2"/>
        <v>50</v>
      </c>
      <c r="K20" t="s">
        <v>28</v>
      </c>
      <c r="L20">
        <v>500</v>
      </c>
      <c r="P20">
        <v>25.76</v>
      </c>
      <c r="Q20">
        <v>19</v>
      </c>
      <c r="R20">
        <v>1288</v>
      </c>
      <c r="S20">
        <v>19</v>
      </c>
    </row>
    <row r="21" spans="2:19" x14ac:dyDescent="0.25">
      <c r="B21">
        <v>19</v>
      </c>
      <c r="C21">
        <v>75</v>
      </c>
      <c r="D21">
        <v>65</v>
      </c>
      <c r="E21">
        <v>20</v>
      </c>
      <c r="F21">
        <v>1288</v>
      </c>
      <c r="G21">
        <f t="shared" si="1"/>
        <v>0.81818181818181823</v>
      </c>
      <c r="H21">
        <f t="shared" si="0"/>
        <v>3.5072999328309495</v>
      </c>
      <c r="I21">
        <f t="shared" si="2"/>
        <v>50</v>
      </c>
      <c r="K21" t="s">
        <v>28</v>
      </c>
      <c r="L21">
        <v>600</v>
      </c>
      <c r="P21">
        <v>27.88</v>
      </c>
      <c r="Q21">
        <v>12</v>
      </c>
      <c r="R21">
        <v>1394</v>
      </c>
      <c r="S21">
        <v>12</v>
      </c>
    </row>
    <row r="22" spans="2:19" x14ac:dyDescent="0.25">
      <c r="B22">
        <v>20</v>
      </c>
      <c r="C22">
        <v>75</v>
      </c>
      <c r="D22">
        <v>65</v>
      </c>
      <c r="E22">
        <v>20</v>
      </c>
      <c r="F22">
        <v>1450</v>
      </c>
      <c r="G22">
        <f t="shared" si="1"/>
        <v>0.81818181818181823</v>
      </c>
      <c r="H22">
        <f t="shared" si="0"/>
        <v>3.5072999328309495</v>
      </c>
      <c r="I22">
        <f t="shared" si="2"/>
        <v>50</v>
      </c>
      <c r="K22" t="s">
        <v>28</v>
      </c>
      <c r="L22">
        <v>700</v>
      </c>
      <c r="P22">
        <v>29</v>
      </c>
      <c r="Q22">
        <v>20</v>
      </c>
      <c r="R22">
        <v>1450</v>
      </c>
      <c r="S22">
        <v>20</v>
      </c>
    </row>
    <row r="23" spans="2:19" x14ac:dyDescent="0.25">
      <c r="B23">
        <v>21</v>
      </c>
      <c r="C23">
        <v>75</v>
      </c>
      <c r="D23">
        <v>65</v>
      </c>
      <c r="E23">
        <v>20</v>
      </c>
      <c r="F23">
        <v>1754</v>
      </c>
      <c r="G23">
        <f t="shared" si="1"/>
        <v>0.81818181818181823</v>
      </c>
      <c r="H23">
        <f t="shared" si="0"/>
        <v>3.5072999328309495</v>
      </c>
      <c r="I23">
        <f t="shared" si="2"/>
        <v>50</v>
      </c>
      <c r="K23" t="s">
        <v>28</v>
      </c>
      <c r="L23">
        <v>900</v>
      </c>
      <c r="P23">
        <v>35.08</v>
      </c>
      <c r="Q23">
        <v>21</v>
      </c>
      <c r="R23">
        <v>1754</v>
      </c>
      <c r="S23">
        <v>21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169E7-F21B-47EC-8606-464FD48DB9D8}">
  <sheetPr codeName="List7"/>
  <dimension ref="B2:W39"/>
  <sheetViews>
    <sheetView workbookViewId="0">
      <selection activeCell="C2" sqref="C2:F2"/>
    </sheetView>
  </sheetViews>
  <sheetFormatPr defaultRowHeight="15" x14ac:dyDescent="0.25"/>
  <sheetData>
    <row r="2" spans="2:23" x14ac:dyDescent="0.25">
      <c r="B2" t="s">
        <v>14</v>
      </c>
      <c r="C2" t="s">
        <v>67</v>
      </c>
      <c r="D2" t="s">
        <v>68</v>
      </c>
      <c r="E2" t="s">
        <v>69</v>
      </c>
      <c r="F2" t="s">
        <v>70</v>
      </c>
      <c r="G2" t="s">
        <v>66</v>
      </c>
      <c r="I2" t="s">
        <v>71</v>
      </c>
      <c r="K2" t="s">
        <v>19</v>
      </c>
      <c r="N2" t="s">
        <v>21</v>
      </c>
      <c r="P2" t="s">
        <v>66</v>
      </c>
      <c r="Q2" t="s">
        <v>14</v>
      </c>
      <c r="R2" t="s">
        <v>24</v>
      </c>
      <c r="S2" t="s">
        <v>14</v>
      </c>
    </row>
    <row r="3" spans="2:23" x14ac:dyDescent="0.25">
      <c r="B3">
        <v>1</v>
      </c>
      <c r="C3">
        <v>70</v>
      </c>
      <c r="D3">
        <v>60</v>
      </c>
      <c r="E3">
        <v>20</v>
      </c>
      <c r="F3">
        <v>1900</v>
      </c>
      <c r="G3">
        <f>(D3-E3)/(C3-E3)</f>
        <v>0.8</v>
      </c>
      <c r="I3">
        <f>IF(G3&gt;=0.7,(C3+D3)/2-E3,(C3-D3)/(LN((C3-E3)/(D3-E3))))</f>
        <v>45</v>
      </c>
      <c r="K3" t="s">
        <v>29</v>
      </c>
      <c r="N3">
        <f xml:space="preserve"> COUNT(G:G)-1</f>
        <v>36</v>
      </c>
      <c r="P3">
        <v>0.8</v>
      </c>
      <c r="Q3">
        <v>1</v>
      </c>
      <c r="R3">
        <v>1900</v>
      </c>
      <c r="S3">
        <v>1</v>
      </c>
      <c r="W3" t="s">
        <v>30</v>
      </c>
    </row>
    <row r="4" spans="2:23" x14ac:dyDescent="0.25">
      <c r="B4">
        <v>2</v>
      </c>
      <c r="C4">
        <v>70</v>
      </c>
      <c r="D4">
        <v>60</v>
      </c>
      <c r="E4">
        <v>20</v>
      </c>
      <c r="F4">
        <v>2100</v>
      </c>
      <c r="G4">
        <f t="shared" ref="G4:G39" si="0">(D4-E4)/(C4-E4)</f>
        <v>0.8</v>
      </c>
      <c r="I4">
        <f t="shared" ref="I4:I39" si="1">IF(G4&gt;=0.7,(C4+D4)/2-E4,(C4-D4)/(LN((C4-E4)/(D4-E4))))</f>
        <v>45</v>
      </c>
      <c r="K4" t="s">
        <v>31</v>
      </c>
      <c r="P4">
        <v>0.8</v>
      </c>
      <c r="Q4">
        <v>2</v>
      </c>
      <c r="R4">
        <v>2100</v>
      </c>
      <c r="S4">
        <v>2</v>
      </c>
    </row>
    <row r="5" spans="2:23" x14ac:dyDescent="0.25">
      <c r="B5">
        <v>3</v>
      </c>
      <c r="C5">
        <v>70</v>
      </c>
      <c r="D5">
        <v>60</v>
      </c>
      <c r="E5">
        <v>20</v>
      </c>
      <c r="F5">
        <v>3080</v>
      </c>
      <c r="G5">
        <f t="shared" si="0"/>
        <v>0.8</v>
      </c>
      <c r="I5">
        <f t="shared" si="1"/>
        <v>45</v>
      </c>
      <c r="K5" t="s">
        <v>32</v>
      </c>
      <c r="P5">
        <v>0.8</v>
      </c>
      <c r="Q5">
        <v>3</v>
      </c>
      <c r="R5">
        <v>2115</v>
      </c>
      <c r="S5">
        <v>27</v>
      </c>
    </row>
    <row r="6" spans="2:23" x14ac:dyDescent="0.25">
      <c r="B6">
        <v>4</v>
      </c>
      <c r="C6">
        <v>70</v>
      </c>
      <c r="D6">
        <v>60</v>
      </c>
      <c r="E6">
        <v>20</v>
      </c>
      <c r="F6">
        <v>5050</v>
      </c>
      <c r="G6">
        <f t="shared" si="0"/>
        <v>0.8</v>
      </c>
      <c r="I6">
        <f t="shared" si="1"/>
        <v>45</v>
      </c>
      <c r="K6" t="s">
        <v>33</v>
      </c>
      <c r="P6">
        <v>0.8</v>
      </c>
      <c r="Q6">
        <v>4</v>
      </c>
      <c r="R6">
        <v>2115</v>
      </c>
      <c r="S6">
        <v>28</v>
      </c>
    </row>
    <row r="7" spans="2:23" x14ac:dyDescent="0.25">
      <c r="B7">
        <v>5</v>
      </c>
      <c r="C7">
        <v>70</v>
      </c>
      <c r="D7">
        <v>60</v>
      </c>
      <c r="E7">
        <v>20</v>
      </c>
      <c r="F7">
        <v>5300</v>
      </c>
      <c r="G7">
        <f t="shared" si="0"/>
        <v>0.8</v>
      </c>
      <c r="I7">
        <f t="shared" si="1"/>
        <v>45</v>
      </c>
      <c r="K7" t="s">
        <v>34</v>
      </c>
      <c r="P7">
        <v>0.8</v>
      </c>
      <c r="Q7">
        <v>5</v>
      </c>
      <c r="R7">
        <v>2140</v>
      </c>
      <c r="S7">
        <v>8</v>
      </c>
    </row>
    <row r="8" spans="2:23" x14ac:dyDescent="0.25">
      <c r="B8">
        <v>6</v>
      </c>
      <c r="C8">
        <v>70</v>
      </c>
      <c r="D8">
        <v>60</v>
      </c>
      <c r="E8">
        <v>20</v>
      </c>
      <c r="F8">
        <v>7910</v>
      </c>
      <c r="G8">
        <f t="shared" si="0"/>
        <v>0.8</v>
      </c>
      <c r="I8">
        <f t="shared" si="1"/>
        <v>45</v>
      </c>
      <c r="K8" t="s">
        <v>35</v>
      </c>
      <c r="P8">
        <v>0.8</v>
      </c>
      <c r="Q8">
        <v>6</v>
      </c>
      <c r="R8">
        <v>2570</v>
      </c>
      <c r="S8">
        <v>9</v>
      </c>
    </row>
    <row r="9" spans="2:23" x14ac:dyDescent="0.25">
      <c r="B9">
        <v>7</v>
      </c>
      <c r="C9">
        <v>70</v>
      </c>
      <c r="D9">
        <v>60</v>
      </c>
      <c r="E9">
        <v>20</v>
      </c>
      <c r="F9">
        <v>9300</v>
      </c>
      <c r="G9">
        <f t="shared" si="0"/>
        <v>0.8</v>
      </c>
      <c r="I9">
        <f t="shared" si="1"/>
        <v>45</v>
      </c>
      <c r="K9" t="s">
        <v>36</v>
      </c>
      <c r="P9">
        <v>0.8</v>
      </c>
      <c r="Q9">
        <v>7</v>
      </c>
      <c r="R9">
        <v>3080</v>
      </c>
      <c r="S9">
        <v>3</v>
      </c>
    </row>
    <row r="10" spans="2:23" x14ac:dyDescent="0.25">
      <c r="B10">
        <v>8</v>
      </c>
      <c r="C10">
        <v>70</v>
      </c>
      <c r="D10">
        <v>60</v>
      </c>
      <c r="E10">
        <v>20</v>
      </c>
      <c r="F10">
        <v>2140</v>
      </c>
      <c r="G10">
        <f t="shared" si="0"/>
        <v>0.8</v>
      </c>
      <c r="I10">
        <f t="shared" si="1"/>
        <v>45</v>
      </c>
      <c r="K10" t="s">
        <v>37</v>
      </c>
      <c r="P10">
        <v>0.8</v>
      </c>
      <c r="Q10">
        <v>8</v>
      </c>
      <c r="R10">
        <v>3810</v>
      </c>
      <c r="S10">
        <v>10</v>
      </c>
    </row>
    <row r="11" spans="2:23" x14ac:dyDescent="0.25">
      <c r="B11">
        <v>9</v>
      </c>
      <c r="C11">
        <v>70</v>
      </c>
      <c r="D11">
        <v>60</v>
      </c>
      <c r="E11">
        <v>20</v>
      </c>
      <c r="F11">
        <v>2570</v>
      </c>
      <c r="G11">
        <f t="shared" si="0"/>
        <v>0.8</v>
      </c>
      <c r="I11">
        <f t="shared" si="1"/>
        <v>45</v>
      </c>
      <c r="K11" t="s">
        <v>38</v>
      </c>
      <c r="P11">
        <v>0.8</v>
      </c>
      <c r="Q11">
        <v>9</v>
      </c>
      <c r="R11">
        <v>4050</v>
      </c>
      <c r="S11">
        <v>15</v>
      </c>
    </row>
    <row r="12" spans="2:23" x14ac:dyDescent="0.25">
      <c r="B12">
        <v>10</v>
      </c>
      <c r="C12">
        <v>70</v>
      </c>
      <c r="D12">
        <v>60</v>
      </c>
      <c r="E12">
        <v>20</v>
      </c>
      <c r="F12">
        <v>3810</v>
      </c>
      <c r="G12">
        <f t="shared" si="0"/>
        <v>0.8</v>
      </c>
      <c r="I12">
        <f t="shared" si="1"/>
        <v>45</v>
      </c>
      <c r="K12" t="s">
        <v>39</v>
      </c>
      <c r="P12">
        <v>0.8</v>
      </c>
      <c r="Q12">
        <v>10</v>
      </c>
      <c r="R12">
        <v>4490</v>
      </c>
      <c r="S12">
        <v>22</v>
      </c>
    </row>
    <row r="13" spans="2:23" x14ac:dyDescent="0.25">
      <c r="B13">
        <v>11</v>
      </c>
      <c r="C13">
        <v>70</v>
      </c>
      <c r="D13">
        <v>60</v>
      </c>
      <c r="E13">
        <v>20</v>
      </c>
      <c r="F13">
        <v>6360</v>
      </c>
      <c r="G13">
        <f t="shared" si="0"/>
        <v>0.8</v>
      </c>
      <c r="I13">
        <f t="shared" si="1"/>
        <v>45</v>
      </c>
      <c r="K13" t="s">
        <v>40</v>
      </c>
      <c r="P13">
        <v>0.8</v>
      </c>
      <c r="Q13">
        <v>11</v>
      </c>
      <c r="R13">
        <v>5050</v>
      </c>
      <c r="S13">
        <v>4</v>
      </c>
    </row>
    <row r="14" spans="2:23" x14ac:dyDescent="0.25">
      <c r="B14">
        <v>12</v>
      </c>
      <c r="C14">
        <v>70</v>
      </c>
      <c r="D14">
        <v>60</v>
      </c>
      <c r="E14">
        <v>20</v>
      </c>
      <c r="F14">
        <v>6360</v>
      </c>
      <c r="G14">
        <f t="shared" si="0"/>
        <v>0.8</v>
      </c>
      <c r="I14">
        <f t="shared" si="1"/>
        <v>45</v>
      </c>
      <c r="K14" t="s">
        <v>41</v>
      </c>
      <c r="P14">
        <v>0.8</v>
      </c>
      <c r="Q14">
        <v>12</v>
      </c>
      <c r="R14">
        <v>5300</v>
      </c>
      <c r="S14">
        <v>5</v>
      </c>
    </row>
    <row r="15" spans="2:23" x14ac:dyDescent="0.25">
      <c r="B15">
        <v>13</v>
      </c>
      <c r="C15">
        <v>70</v>
      </c>
      <c r="D15">
        <v>60</v>
      </c>
      <c r="E15">
        <v>20</v>
      </c>
      <c r="F15">
        <v>7830</v>
      </c>
      <c r="G15">
        <f t="shared" si="0"/>
        <v>0.8</v>
      </c>
      <c r="I15">
        <f t="shared" si="1"/>
        <v>45</v>
      </c>
      <c r="K15" t="s">
        <v>42</v>
      </c>
      <c r="P15">
        <v>0.8</v>
      </c>
      <c r="Q15">
        <v>13</v>
      </c>
      <c r="R15">
        <v>5470</v>
      </c>
      <c r="S15">
        <v>29</v>
      </c>
    </row>
    <row r="16" spans="2:23" x14ac:dyDescent="0.25">
      <c r="B16">
        <v>14</v>
      </c>
      <c r="C16">
        <v>70</v>
      </c>
      <c r="D16">
        <v>60</v>
      </c>
      <c r="E16">
        <v>20</v>
      </c>
      <c r="F16">
        <v>10030</v>
      </c>
      <c r="G16">
        <f t="shared" si="0"/>
        <v>0.8</v>
      </c>
      <c r="I16">
        <f t="shared" si="1"/>
        <v>45</v>
      </c>
      <c r="K16" t="s">
        <v>43</v>
      </c>
      <c r="P16">
        <v>0.8</v>
      </c>
      <c r="Q16">
        <v>14</v>
      </c>
      <c r="R16">
        <v>6010</v>
      </c>
      <c r="S16">
        <v>30</v>
      </c>
    </row>
    <row r="17" spans="2:19" x14ac:dyDescent="0.25">
      <c r="B17">
        <v>15</v>
      </c>
      <c r="C17">
        <v>70</v>
      </c>
      <c r="D17">
        <v>60</v>
      </c>
      <c r="E17">
        <v>20</v>
      </c>
      <c r="F17">
        <v>4050</v>
      </c>
      <c r="G17">
        <f t="shared" si="0"/>
        <v>0.8</v>
      </c>
      <c r="I17">
        <f t="shared" si="1"/>
        <v>45</v>
      </c>
      <c r="K17" t="s">
        <v>44</v>
      </c>
      <c r="P17">
        <v>0.8</v>
      </c>
      <c r="Q17">
        <v>15</v>
      </c>
      <c r="R17">
        <v>6360</v>
      </c>
      <c r="S17">
        <v>11</v>
      </c>
    </row>
    <row r="18" spans="2:19" x14ac:dyDescent="0.25">
      <c r="B18">
        <v>16</v>
      </c>
      <c r="C18">
        <v>70</v>
      </c>
      <c r="D18">
        <v>60</v>
      </c>
      <c r="E18">
        <v>20</v>
      </c>
      <c r="F18">
        <v>7710</v>
      </c>
      <c r="G18">
        <f t="shared" si="0"/>
        <v>0.8</v>
      </c>
      <c r="I18">
        <f t="shared" si="1"/>
        <v>45</v>
      </c>
      <c r="K18" t="s">
        <v>45</v>
      </c>
      <c r="P18">
        <v>0.8</v>
      </c>
      <c r="Q18">
        <v>16</v>
      </c>
      <c r="R18">
        <v>6360</v>
      </c>
      <c r="S18">
        <v>12</v>
      </c>
    </row>
    <row r="19" spans="2:19" x14ac:dyDescent="0.25">
      <c r="B19">
        <v>17</v>
      </c>
      <c r="C19">
        <v>70</v>
      </c>
      <c r="D19">
        <v>60</v>
      </c>
      <c r="E19">
        <v>20</v>
      </c>
      <c r="F19">
        <v>9430</v>
      </c>
      <c r="G19">
        <f t="shared" si="0"/>
        <v>0.8</v>
      </c>
      <c r="I19">
        <f t="shared" si="1"/>
        <v>45</v>
      </c>
      <c r="K19" t="s">
        <v>46</v>
      </c>
      <c r="P19">
        <v>0.8</v>
      </c>
      <c r="Q19">
        <v>17</v>
      </c>
      <c r="R19">
        <v>6470</v>
      </c>
      <c r="S19">
        <v>31</v>
      </c>
    </row>
    <row r="20" spans="2:19" x14ac:dyDescent="0.25">
      <c r="B20">
        <v>18</v>
      </c>
      <c r="C20">
        <v>70</v>
      </c>
      <c r="D20">
        <v>60</v>
      </c>
      <c r="E20">
        <v>20</v>
      </c>
      <c r="F20">
        <v>10790</v>
      </c>
      <c r="G20">
        <f t="shared" si="0"/>
        <v>0.8</v>
      </c>
      <c r="I20">
        <f t="shared" si="1"/>
        <v>45</v>
      </c>
      <c r="K20" t="s">
        <v>47</v>
      </c>
      <c r="P20">
        <v>0.8</v>
      </c>
      <c r="Q20">
        <v>18</v>
      </c>
      <c r="R20">
        <v>6620</v>
      </c>
      <c r="S20">
        <v>23</v>
      </c>
    </row>
    <row r="21" spans="2:19" x14ac:dyDescent="0.25">
      <c r="B21">
        <v>19</v>
      </c>
      <c r="C21">
        <v>70</v>
      </c>
      <c r="D21">
        <v>60</v>
      </c>
      <c r="E21">
        <v>20</v>
      </c>
      <c r="F21">
        <v>14450</v>
      </c>
      <c r="G21">
        <f t="shared" si="0"/>
        <v>0.8</v>
      </c>
      <c r="I21">
        <f t="shared" si="1"/>
        <v>45</v>
      </c>
      <c r="K21" t="s">
        <v>48</v>
      </c>
      <c r="P21">
        <v>0.8</v>
      </c>
      <c r="Q21">
        <v>19</v>
      </c>
      <c r="R21">
        <v>7710</v>
      </c>
      <c r="S21">
        <v>16</v>
      </c>
    </row>
    <row r="22" spans="2:19" x14ac:dyDescent="0.25">
      <c r="B22">
        <v>20</v>
      </c>
      <c r="C22">
        <v>70</v>
      </c>
      <c r="D22">
        <v>60</v>
      </c>
      <c r="E22">
        <v>20</v>
      </c>
      <c r="F22">
        <v>19810</v>
      </c>
      <c r="G22">
        <f t="shared" si="0"/>
        <v>0.8</v>
      </c>
      <c r="I22">
        <f t="shared" si="1"/>
        <v>45</v>
      </c>
      <c r="K22" t="s">
        <v>49</v>
      </c>
      <c r="P22">
        <v>0.8</v>
      </c>
      <c r="Q22">
        <v>20</v>
      </c>
      <c r="R22">
        <v>7830</v>
      </c>
      <c r="S22">
        <v>13</v>
      </c>
    </row>
    <row r="23" spans="2:19" x14ac:dyDescent="0.25">
      <c r="B23">
        <v>21</v>
      </c>
      <c r="C23">
        <v>70</v>
      </c>
      <c r="D23">
        <v>60</v>
      </c>
      <c r="E23">
        <v>20</v>
      </c>
      <c r="F23">
        <v>21920</v>
      </c>
      <c r="G23">
        <f t="shared" si="0"/>
        <v>0.8</v>
      </c>
      <c r="I23">
        <f t="shared" si="1"/>
        <v>45</v>
      </c>
      <c r="K23" t="s">
        <v>50</v>
      </c>
      <c r="P23">
        <v>0.8</v>
      </c>
      <c r="Q23">
        <v>21</v>
      </c>
      <c r="R23">
        <v>7910</v>
      </c>
      <c r="S23">
        <v>6</v>
      </c>
    </row>
    <row r="24" spans="2:19" x14ac:dyDescent="0.25">
      <c r="B24">
        <v>22</v>
      </c>
      <c r="C24">
        <v>70</v>
      </c>
      <c r="D24">
        <v>60</v>
      </c>
      <c r="E24">
        <v>20</v>
      </c>
      <c r="F24">
        <v>4490</v>
      </c>
      <c r="G24">
        <f t="shared" si="0"/>
        <v>0.8</v>
      </c>
      <c r="I24">
        <f t="shared" si="1"/>
        <v>45</v>
      </c>
      <c r="K24" t="s">
        <v>51</v>
      </c>
      <c r="P24">
        <v>0.8</v>
      </c>
      <c r="Q24">
        <v>22</v>
      </c>
      <c r="R24">
        <v>9210</v>
      </c>
      <c r="S24">
        <v>24</v>
      </c>
    </row>
    <row r="25" spans="2:19" x14ac:dyDescent="0.25">
      <c r="B25">
        <v>23</v>
      </c>
      <c r="C25">
        <v>70</v>
      </c>
      <c r="D25">
        <v>60</v>
      </c>
      <c r="E25">
        <v>20</v>
      </c>
      <c r="F25">
        <v>6620</v>
      </c>
      <c r="G25">
        <f t="shared" si="0"/>
        <v>0.8</v>
      </c>
      <c r="I25">
        <f t="shared" si="1"/>
        <v>45</v>
      </c>
      <c r="K25" t="s">
        <v>52</v>
      </c>
      <c r="P25">
        <v>0.8</v>
      </c>
      <c r="Q25">
        <v>23</v>
      </c>
      <c r="R25">
        <v>9210</v>
      </c>
      <c r="S25">
        <v>25</v>
      </c>
    </row>
    <row r="26" spans="2:19" x14ac:dyDescent="0.25">
      <c r="B26">
        <v>24</v>
      </c>
      <c r="C26">
        <v>70</v>
      </c>
      <c r="D26">
        <v>60</v>
      </c>
      <c r="E26">
        <v>20</v>
      </c>
      <c r="F26">
        <v>9210</v>
      </c>
      <c r="G26">
        <f t="shared" si="0"/>
        <v>0.8</v>
      </c>
      <c r="I26">
        <f t="shared" si="1"/>
        <v>45</v>
      </c>
      <c r="K26" t="s">
        <v>53</v>
      </c>
      <c r="P26">
        <v>0.8</v>
      </c>
      <c r="Q26">
        <v>24</v>
      </c>
      <c r="R26">
        <v>9300</v>
      </c>
      <c r="S26">
        <v>7</v>
      </c>
    </row>
    <row r="27" spans="2:19" x14ac:dyDescent="0.25">
      <c r="B27">
        <v>25</v>
      </c>
      <c r="C27">
        <v>70</v>
      </c>
      <c r="D27">
        <v>60</v>
      </c>
      <c r="E27">
        <v>20</v>
      </c>
      <c r="F27">
        <v>9210</v>
      </c>
      <c r="G27">
        <f t="shared" si="0"/>
        <v>0.8</v>
      </c>
      <c r="I27">
        <f t="shared" si="1"/>
        <v>45</v>
      </c>
      <c r="K27" t="s">
        <v>54</v>
      </c>
      <c r="P27">
        <v>0.8</v>
      </c>
      <c r="Q27">
        <v>25</v>
      </c>
      <c r="R27">
        <v>9430</v>
      </c>
      <c r="S27">
        <v>17</v>
      </c>
    </row>
    <row r="28" spans="2:19" x14ac:dyDescent="0.25">
      <c r="B28">
        <v>26</v>
      </c>
      <c r="C28">
        <v>70</v>
      </c>
      <c r="D28">
        <v>60</v>
      </c>
      <c r="E28">
        <v>20</v>
      </c>
      <c r="F28">
        <v>15860</v>
      </c>
      <c r="G28">
        <f t="shared" si="0"/>
        <v>0.8</v>
      </c>
      <c r="I28">
        <f t="shared" si="1"/>
        <v>45</v>
      </c>
      <c r="K28" t="s">
        <v>55</v>
      </c>
      <c r="P28">
        <v>0.8</v>
      </c>
      <c r="Q28">
        <v>26</v>
      </c>
      <c r="R28">
        <v>10030</v>
      </c>
      <c r="S28">
        <v>14</v>
      </c>
    </row>
    <row r="29" spans="2:19" x14ac:dyDescent="0.25">
      <c r="B29">
        <v>27</v>
      </c>
      <c r="C29">
        <v>70</v>
      </c>
      <c r="D29">
        <v>60</v>
      </c>
      <c r="E29">
        <v>20</v>
      </c>
      <c r="F29">
        <v>2115</v>
      </c>
      <c r="G29">
        <f t="shared" si="0"/>
        <v>0.8</v>
      </c>
      <c r="I29">
        <f t="shared" si="1"/>
        <v>45</v>
      </c>
      <c r="K29" t="s">
        <v>56</v>
      </c>
      <c r="P29">
        <v>0.8</v>
      </c>
      <c r="Q29">
        <v>27</v>
      </c>
      <c r="R29">
        <v>10310</v>
      </c>
      <c r="S29">
        <v>32</v>
      </c>
    </row>
    <row r="30" spans="2:19" x14ac:dyDescent="0.25">
      <c r="B30">
        <v>28</v>
      </c>
      <c r="C30">
        <v>70</v>
      </c>
      <c r="D30">
        <v>60</v>
      </c>
      <c r="E30">
        <v>20</v>
      </c>
      <c r="F30">
        <v>2115</v>
      </c>
      <c r="G30">
        <f t="shared" si="0"/>
        <v>0.8</v>
      </c>
      <c r="I30">
        <f t="shared" si="1"/>
        <v>45</v>
      </c>
      <c r="K30" t="s">
        <v>57</v>
      </c>
      <c r="P30">
        <v>0.8</v>
      </c>
      <c r="Q30">
        <v>28</v>
      </c>
      <c r="R30">
        <v>10790</v>
      </c>
      <c r="S30">
        <v>18</v>
      </c>
    </row>
    <row r="31" spans="2:19" x14ac:dyDescent="0.25">
      <c r="B31">
        <v>29</v>
      </c>
      <c r="C31">
        <v>70</v>
      </c>
      <c r="D31">
        <v>60</v>
      </c>
      <c r="E31">
        <v>20</v>
      </c>
      <c r="F31">
        <v>5470</v>
      </c>
      <c r="G31">
        <f t="shared" si="0"/>
        <v>0.8</v>
      </c>
      <c r="I31">
        <f t="shared" si="1"/>
        <v>45</v>
      </c>
      <c r="K31" t="s">
        <v>58</v>
      </c>
      <c r="P31">
        <v>0.8</v>
      </c>
      <c r="Q31">
        <v>29</v>
      </c>
      <c r="R31">
        <v>11390</v>
      </c>
      <c r="S31">
        <v>33</v>
      </c>
    </row>
    <row r="32" spans="2:19" x14ac:dyDescent="0.25">
      <c r="B32">
        <v>30</v>
      </c>
      <c r="C32">
        <v>70</v>
      </c>
      <c r="D32">
        <v>60</v>
      </c>
      <c r="E32">
        <v>20</v>
      </c>
      <c r="F32">
        <v>6010</v>
      </c>
      <c r="G32">
        <f t="shared" si="0"/>
        <v>0.8</v>
      </c>
      <c r="I32">
        <f t="shared" si="1"/>
        <v>45</v>
      </c>
      <c r="K32" t="s">
        <v>58</v>
      </c>
      <c r="P32">
        <v>0.8</v>
      </c>
      <c r="Q32">
        <v>30</v>
      </c>
      <c r="R32">
        <v>12280</v>
      </c>
      <c r="S32">
        <v>34</v>
      </c>
    </row>
    <row r="33" spans="2:19" x14ac:dyDescent="0.25">
      <c r="B33">
        <v>31</v>
      </c>
      <c r="C33">
        <v>70</v>
      </c>
      <c r="D33">
        <v>60</v>
      </c>
      <c r="E33">
        <v>20</v>
      </c>
      <c r="F33">
        <v>6470</v>
      </c>
      <c r="G33">
        <f t="shared" si="0"/>
        <v>0.8</v>
      </c>
      <c r="I33">
        <f t="shared" si="1"/>
        <v>45</v>
      </c>
      <c r="K33" t="s">
        <v>59</v>
      </c>
      <c r="P33">
        <v>0.8</v>
      </c>
      <c r="Q33">
        <v>31</v>
      </c>
      <c r="R33">
        <v>14450</v>
      </c>
      <c r="S33">
        <v>19</v>
      </c>
    </row>
    <row r="34" spans="2:19" x14ac:dyDescent="0.25">
      <c r="B34">
        <v>32</v>
      </c>
      <c r="C34">
        <v>70</v>
      </c>
      <c r="D34">
        <v>60</v>
      </c>
      <c r="E34">
        <v>20</v>
      </c>
      <c r="F34">
        <v>10310</v>
      </c>
      <c r="G34">
        <f t="shared" si="0"/>
        <v>0.8</v>
      </c>
      <c r="I34">
        <f t="shared" si="1"/>
        <v>45</v>
      </c>
      <c r="K34" t="s">
        <v>60</v>
      </c>
      <c r="P34">
        <v>0.8</v>
      </c>
      <c r="Q34">
        <v>32</v>
      </c>
      <c r="R34">
        <v>15050</v>
      </c>
      <c r="S34">
        <v>35</v>
      </c>
    </row>
    <row r="35" spans="2:19" x14ac:dyDescent="0.25">
      <c r="B35">
        <v>33</v>
      </c>
      <c r="C35">
        <v>70</v>
      </c>
      <c r="D35">
        <v>60</v>
      </c>
      <c r="E35">
        <v>20</v>
      </c>
      <c r="F35">
        <v>11390</v>
      </c>
      <c r="G35">
        <f t="shared" si="0"/>
        <v>0.8</v>
      </c>
      <c r="I35">
        <f t="shared" si="1"/>
        <v>45</v>
      </c>
      <c r="K35" t="s">
        <v>61</v>
      </c>
      <c r="P35">
        <v>0.8</v>
      </c>
      <c r="Q35">
        <v>33</v>
      </c>
      <c r="R35">
        <v>15860</v>
      </c>
      <c r="S35">
        <v>26</v>
      </c>
    </row>
    <row r="36" spans="2:19" x14ac:dyDescent="0.25">
      <c r="B36">
        <v>34</v>
      </c>
      <c r="C36">
        <v>70</v>
      </c>
      <c r="D36">
        <v>60</v>
      </c>
      <c r="E36">
        <v>20</v>
      </c>
      <c r="F36">
        <v>12280</v>
      </c>
      <c r="G36">
        <f t="shared" si="0"/>
        <v>0.8</v>
      </c>
      <c r="I36">
        <f t="shared" si="1"/>
        <v>45</v>
      </c>
      <c r="K36" t="s">
        <v>62</v>
      </c>
      <c r="P36">
        <v>0.8</v>
      </c>
      <c r="Q36">
        <v>34</v>
      </c>
      <c r="R36">
        <v>16850</v>
      </c>
      <c r="S36">
        <v>36</v>
      </c>
    </row>
    <row r="37" spans="2:19" x14ac:dyDescent="0.25">
      <c r="B37">
        <v>35</v>
      </c>
      <c r="C37">
        <v>70</v>
      </c>
      <c r="D37">
        <v>60</v>
      </c>
      <c r="E37">
        <v>20</v>
      </c>
      <c r="F37">
        <v>15050</v>
      </c>
      <c r="G37">
        <f t="shared" si="0"/>
        <v>0.8</v>
      </c>
      <c r="I37">
        <f t="shared" si="1"/>
        <v>45</v>
      </c>
      <c r="K37" t="s">
        <v>63</v>
      </c>
      <c r="P37">
        <v>0.8</v>
      </c>
      <c r="Q37">
        <v>35</v>
      </c>
      <c r="R37">
        <v>18780</v>
      </c>
      <c r="S37">
        <v>37</v>
      </c>
    </row>
    <row r="38" spans="2:19" x14ac:dyDescent="0.25">
      <c r="B38">
        <v>36</v>
      </c>
      <c r="C38">
        <v>70</v>
      </c>
      <c r="D38">
        <v>60</v>
      </c>
      <c r="E38">
        <v>20</v>
      </c>
      <c r="F38">
        <v>16850</v>
      </c>
      <c r="G38">
        <f t="shared" si="0"/>
        <v>0.8</v>
      </c>
      <c r="I38">
        <f t="shared" si="1"/>
        <v>45</v>
      </c>
      <c r="K38" t="s">
        <v>64</v>
      </c>
      <c r="P38">
        <v>0.8</v>
      </c>
      <c r="Q38">
        <v>36</v>
      </c>
      <c r="R38">
        <v>19810</v>
      </c>
      <c r="S38">
        <v>20</v>
      </c>
    </row>
    <row r="39" spans="2:19" x14ac:dyDescent="0.25">
      <c r="B39">
        <v>37</v>
      </c>
      <c r="C39">
        <v>70</v>
      </c>
      <c r="D39">
        <v>60</v>
      </c>
      <c r="E39">
        <v>20</v>
      </c>
      <c r="F39">
        <v>18780</v>
      </c>
      <c r="G39">
        <f t="shared" si="0"/>
        <v>0.8</v>
      </c>
      <c r="I39">
        <f t="shared" si="1"/>
        <v>45</v>
      </c>
      <c r="K39" t="s">
        <v>65</v>
      </c>
      <c r="P39">
        <v>0.8</v>
      </c>
      <c r="Q39">
        <v>37</v>
      </c>
      <c r="R39">
        <v>21920</v>
      </c>
      <c r="S39">
        <v>21</v>
      </c>
    </row>
  </sheetData>
  <sortState ref="P3:Q38">
    <sortCondition ref="P2"/>
  </sortState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4F03F-9445-4EC4-B3A9-4F255F50E06C}">
  <sheetPr codeName="Sheet14"/>
  <dimension ref="C2:N119"/>
  <sheetViews>
    <sheetView workbookViewId="0">
      <selection activeCell="O6" sqref="O6"/>
    </sheetView>
  </sheetViews>
  <sheetFormatPr defaultRowHeight="15" x14ac:dyDescent="0.25"/>
  <sheetData>
    <row r="2" spans="3:14" x14ac:dyDescent="0.25">
      <c r="C2" t="s">
        <v>67</v>
      </c>
      <c r="D2" t="s">
        <v>68</v>
      </c>
      <c r="E2" t="s">
        <v>69</v>
      </c>
      <c r="F2" t="s">
        <v>70</v>
      </c>
      <c r="G2" t="s">
        <v>66</v>
      </c>
      <c r="I2" t="s">
        <v>5</v>
      </c>
      <c r="K2" t="s">
        <v>86</v>
      </c>
      <c r="N2" t="s">
        <v>93</v>
      </c>
    </row>
    <row r="3" spans="3:14" x14ac:dyDescent="0.25">
      <c r="C3">
        <v>90</v>
      </c>
      <c r="D3">
        <v>70</v>
      </c>
      <c r="E3">
        <v>20</v>
      </c>
      <c r="F3">
        <v>475</v>
      </c>
      <c r="G3">
        <f t="shared" ref="G3:G66" si="0">(D3-E3)/(C3-E3)</f>
        <v>0.7142857142857143</v>
      </c>
      <c r="I3">
        <f t="shared" ref="I3:I66" si="1">IF(G3&gt;=0.7,(C3+D3)/2-E3,(C3-D3)/(LN((C3-E3)/(D3-E3))))</f>
        <v>60</v>
      </c>
      <c r="K3" t="s">
        <v>94</v>
      </c>
      <c r="N3">
        <f>COUNT(G:G)</f>
        <v>117</v>
      </c>
    </row>
    <row r="4" spans="3:14" x14ac:dyDescent="0.25">
      <c r="C4">
        <v>90</v>
      </c>
      <c r="D4">
        <v>70</v>
      </c>
      <c r="E4">
        <v>20</v>
      </c>
      <c r="F4">
        <v>602</v>
      </c>
      <c r="G4">
        <f t="shared" si="0"/>
        <v>0.7142857142857143</v>
      </c>
      <c r="I4">
        <f t="shared" si="1"/>
        <v>60</v>
      </c>
      <c r="K4" t="s">
        <v>95</v>
      </c>
    </row>
    <row r="5" spans="3:14" x14ac:dyDescent="0.25">
      <c r="C5">
        <v>90</v>
      </c>
      <c r="D5">
        <v>70</v>
      </c>
      <c r="E5">
        <v>20</v>
      </c>
      <c r="F5">
        <v>570</v>
      </c>
      <c r="G5">
        <f t="shared" si="0"/>
        <v>0.7142857142857143</v>
      </c>
      <c r="I5">
        <f t="shared" si="1"/>
        <v>60</v>
      </c>
      <c r="K5" t="s">
        <v>96</v>
      </c>
    </row>
    <row r="6" spans="3:14" x14ac:dyDescent="0.25">
      <c r="C6">
        <v>90</v>
      </c>
      <c r="D6">
        <v>70</v>
      </c>
      <c r="E6">
        <v>20</v>
      </c>
      <c r="F6">
        <v>722</v>
      </c>
      <c r="G6">
        <f t="shared" si="0"/>
        <v>0.7142857142857143</v>
      </c>
      <c r="I6">
        <f t="shared" si="1"/>
        <v>60</v>
      </c>
      <c r="K6" t="s">
        <v>97</v>
      </c>
    </row>
    <row r="7" spans="3:14" x14ac:dyDescent="0.25">
      <c r="C7">
        <v>90</v>
      </c>
      <c r="D7">
        <v>70</v>
      </c>
      <c r="E7">
        <v>20</v>
      </c>
      <c r="F7">
        <v>665</v>
      </c>
      <c r="G7">
        <f t="shared" si="0"/>
        <v>0.7142857142857143</v>
      </c>
      <c r="I7">
        <f t="shared" si="1"/>
        <v>60</v>
      </c>
      <c r="K7" t="s">
        <v>98</v>
      </c>
    </row>
    <row r="8" spans="3:14" x14ac:dyDescent="0.25">
      <c r="C8">
        <v>90</v>
      </c>
      <c r="D8">
        <v>70</v>
      </c>
      <c r="E8">
        <v>20</v>
      </c>
      <c r="F8">
        <v>843</v>
      </c>
      <c r="G8">
        <f t="shared" si="0"/>
        <v>0.7142857142857143</v>
      </c>
      <c r="I8">
        <f t="shared" si="1"/>
        <v>60</v>
      </c>
      <c r="K8" t="s">
        <v>99</v>
      </c>
    </row>
    <row r="9" spans="3:14" x14ac:dyDescent="0.25">
      <c r="C9">
        <v>90</v>
      </c>
      <c r="D9">
        <v>70</v>
      </c>
      <c r="E9">
        <v>20</v>
      </c>
      <c r="F9">
        <v>760</v>
      </c>
      <c r="G9">
        <f t="shared" si="0"/>
        <v>0.7142857142857143</v>
      </c>
      <c r="I9">
        <f t="shared" si="1"/>
        <v>60</v>
      </c>
      <c r="K9" t="s">
        <v>100</v>
      </c>
    </row>
    <row r="10" spans="3:14" x14ac:dyDescent="0.25">
      <c r="C10">
        <v>90</v>
      </c>
      <c r="D10">
        <v>70</v>
      </c>
      <c r="E10">
        <v>20</v>
      </c>
      <c r="F10">
        <v>963</v>
      </c>
      <c r="G10">
        <f t="shared" si="0"/>
        <v>0.7142857142857143</v>
      </c>
      <c r="I10">
        <f t="shared" si="1"/>
        <v>60</v>
      </c>
      <c r="K10" t="s">
        <v>101</v>
      </c>
    </row>
    <row r="11" spans="3:14" x14ac:dyDescent="0.25">
      <c r="C11">
        <v>90</v>
      </c>
      <c r="D11">
        <v>70</v>
      </c>
      <c r="E11">
        <v>20</v>
      </c>
      <c r="F11">
        <v>1354</v>
      </c>
      <c r="G11">
        <f t="shared" si="0"/>
        <v>0.7142857142857143</v>
      </c>
      <c r="I11">
        <f t="shared" si="1"/>
        <v>60</v>
      </c>
      <c r="K11" t="s">
        <v>102</v>
      </c>
    </row>
    <row r="12" spans="3:14" x14ac:dyDescent="0.25">
      <c r="C12">
        <v>90</v>
      </c>
      <c r="D12">
        <v>70</v>
      </c>
      <c r="E12">
        <v>20</v>
      </c>
      <c r="F12">
        <v>855</v>
      </c>
      <c r="G12">
        <f t="shared" si="0"/>
        <v>0.7142857142857143</v>
      </c>
      <c r="I12">
        <f t="shared" si="1"/>
        <v>60</v>
      </c>
      <c r="K12" t="s">
        <v>103</v>
      </c>
    </row>
    <row r="13" spans="3:14" x14ac:dyDescent="0.25">
      <c r="C13">
        <v>90</v>
      </c>
      <c r="D13">
        <v>70</v>
      </c>
      <c r="E13">
        <v>20</v>
      </c>
      <c r="F13">
        <v>1083</v>
      </c>
      <c r="G13">
        <f t="shared" si="0"/>
        <v>0.7142857142857143</v>
      </c>
      <c r="I13">
        <f t="shared" si="1"/>
        <v>60</v>
      </c>
      <c r="K13" t="s">
        <v>104</v>
      </c>
    </row>
    <row r="14" spans="3:14" x14ac:dyDescent="0.25">
      <c r="C14">
        <v>90</v>
      </c>
      <c r="D14">
        <v>70</v>
      </c>
      <c r="E14">
        <v>20</v>
      </c>
      <c r="F14">
        <v>1524</v>
      </c>
      <c r="G14">
        <f t="shared" si="0"/>
        <v>0.7142857142857143</v>
      </c>
      <c r="I14">
        <f t="shared" si="1"/>
        <v>60</v>
      </c>
      <c r="K14" t="s">
        <v>105</v>
      </c>
    </row>
    <row r="15" spans="3:14" x14ac:dyDescent="0.25">
      <c r="C15">
        <v>90</v>
      </c>
      <c r="D15">
        <v>70</v>
      </c>
      <c r="E15">
        <v>20</v>
      </c>
      <c r="F15">
        <v>950</v>
      </c>
      <c r="G15">
        <f t="shared" si="0"/>
        <v>0.7142857142857143</v>
      </c>
      <c r="I15">
        <f t="shared" si="1"/>
        <v>60</v>
      </c>
      <c r="K15" t="s">
        <v>106</v>
      </c>
    </row>
    <row r="16" spans="3:14" x14ac:dyDescent="0.25">
      <c r="C16">
        <v>90</v>
      </c>
      <c r="D16">
        <v>70</v>
      </c>
      <c r="E16">
        <v>20</v>
      </c>
      <c r="F16">
        <v>1204</v>
      </c>
      <c r="G16">
        <f t="shared" si="0"/>
        <v>0.7142857142857143</v>
      </c>
      <c r="I16">
        <f t="shared" si="1"/>
        <v>60</v>
      </c>
      <c r="K16" t="s">
        <v>107</v>
      </c>
    </row>
    <row r="17" spans="3:11" x14ac:dyDescent="0.25">
      <c r="C17">
        <v>90</v>
      </c>
      <c r="D17">
        <v>70</v>
      </c>
      <c r="E17">
        <v>20</v>
      </c>
      <c r="F17">
        <v>1693</v>
      </c>
      <c r="G17">
        <f t="shared" si="0"/>
        <v>0.7142857142857143</v>
      </c>
      <c r="I17">
        <f t="shared" si="1"/>
        <v>60</v>
      </c>
      <c r="K17" t="s">
        <v>108</v>
      </c>
    </row>
    <row r="18" spans="3:11" x14ac:dyDescent="0.25">
      <c r="C18">
        <v>90</v>
      </c>
      <c r="D18">
        <v>70</v>
      </c>
      <c r="E18">
        <v>20</v>
      </c>
      <c r="F18">
        <v>1045</v>
      </c>
      <c r="G18">
        <f t="shared" si="0"/>
        <v>0.7142857142857143</v>
      </c>
      <c r="I18">
        <f t="shared" si="1"/>
        <v>60</v>
      </c>
      <c r="K18" t="s">
        <v>109</v>
      </c>
    </row>
    <row r="19" spans="3:11" x14ac:dyDescent="0.25">
      <c r="C19">
        <v>90</v>
      </c>
      <c r="D19">
        <v>70</v>
      </c>
      <c r="E19">
        <v>20</v>
      </c>
      <c r="F19">
        <v>1324</v>
      </c>
      <c r="G19">
        <f t="shared" si="0"/>
        <v>0.7142857142857143</v>
      </c>
      <c r="I19">
        <f t="shared" si="1"/>
        <v>60</v>
      </c>
      <c r="K19" t="s">
        <v>110</v>
      </c>
    </row>
    <row r="20" spans="3:11" x14ac:dyDescent="0.25">
      <c r="C20">
        <v>90</v>
      </c>
      <c r="D20">
        <v>70</v>
      </c>
      <c r="E20">
        <v>20</v>
      </c>
      <c r="F20">
        <v>1862</v>
      </c>
      <c r="G20">
        <f t="shared" si="0"/>
        <v>0.7142857142857143</v>
      </c>
      <c r="I20">
        <f t="shared" si="1"/>
        <v>60</v>
      </c>
      <c r="K20" t="s">
        <v>111</v>
      </c>
    </row>
    <row r="21" spans="3:11" x14ac:dyDescent="0.25">
      <c r="C21">
        <v>90</v>
      </c>
      <c r="D21">
        <v>70</v>
      </c>
      <c r="E21">
        <v>20</v>
      </c>
      <c r="F21">
        <v>1140</v>
      </c>
      <c r="G21">
        <f t="shared" si="0"/>
        <v>0.7142857142857143</v>
      </c>
      <c r="I21">
        <f t="shared" si="1"/>
        <v>60</v>
      </c>
      <c r="K21" t="s">
        <v>112</v>
      </c>
    </row>
    <row r="22" spans="3:11" x14ac:dyDescent="0.25">
      <c r="C22">
        <v>90</v>
      </c>
      <c r="D22">
        <v>70</v>
      </c>
      <c r="E22">
        <v>20</v>
      </c>
      <c r="F22">
        <v>1445</v>
      </c>
      <c r="G22">
        <f t="shared" si="0"/>
        <v>0.7142857142857143</v>
      </c>
      <c r="I22">
        <f t="shared" si="1"/>
        <v>60</v>
      </c>
      <c r="K22" t="s">
        <v>113</v>
      </c>
    </row>
    <row r="23" spans="3:11" x14ac:dyDescent="0.25">
      <c r="C23">
        <v>90</v>
      </c>
      <c r="D23">
        <v>70</v>
      </c>
      <c r="E23">
        <v>20</v>
      </c>
      <c r="F23">
        <v>2031</v>
      </c>
      <c r="G23">
        <f t="shared" si="0"/>
        <v>0.7142857142857143</v>
      </c>
      <c r="I23">
        <f t="shared" si="1"/>
        <v>60</v>
      </c>
      <c r="K23" t="s">
        <v>114</v>
      </c>
    </row>
    <row r="24" spans="3:11" x14ac:dyDescent="0.25">
      <c r="C24">
        <v>90</v>
      </c>
      <c r="D24">
        <v>70</v>
      </c>
      <c r="E24">
        <v>20</v>
      </c>
      <c r="F24">
        <v>1331</v>
      </c>
      <c r="G24">
        <f t="shared" si="0"/>
        <v>0.7142857142857143</v>
      </c>
      <c r="I24">
        <f t="shared" si="1"/>
        <v>60</v>
      </c>
      <c r="K24" t="s">
        <v>115</v>
      </c>
    </row>
    <row r="25" spans="3:11" x14ac:dyDescent="0.25">
      <c r="C25">
        <v>90</v>
      </c>
      <c r="D25">
        <v>70</v>
      </c>
      <c r="E25">
        <v>20</v>
      </c>
      <c r="F25">
        <v>1685</v>
      </c>
      <c r="G25">
        <f t="shared" si="0"/>
        <v>0.7142857142857143</v>
      </c>
      <c r="I25">
        <f t="shared" si="1"/>
        <v>60</v>
      </c>
      <c r="K25" t="s">
        <v>116</v>
      </c>
    </row>
    <row r="26" spans="3:11" x14ac:dyDescent="0.25">
      <c r="C26">
        <v>90</v>
      </c>
      <c r="D26">
        <v>70</v>
      </c>
      <c r="E26">
        <v>20</v>
      </c>
      <c r="F26">
        <v>2370</v>
      </c>
      <c r="G26">
        <f t="shared" si="0"/>
        <v>0.7142857142857143</v>
      </c>
      <c r="I26">
        <f t="shared" si="1"/>
        <v>60</v>
      </c>
      <c r="K26" t="s">
        <v>117</v>
      </c>
    </row>
    <row r="27" spans="3:11" x14ac:dyDescent="0.25">
      <c r="C27">
        <v>90</v>
      </c>
      <c r="D27">
        <v>70</v>
      </c>
      <c r="E27">
        <v>20</v>
      </c>
      <c r="F27">
        <v>1521</v>
      </c>
      <c r="G27">
        <f t="shared" si="0"/>
        <v>0.7142857142857143</v>
      </c>
      <c r="I27">
        <f t="shared" si="1"/>
        <v>60</v>
      </c>
      <c r="K27" t="s">
        <v>118</v>
      </c>
    </row>
    <row r="28" spans="3:11" x14ac:dyDescent="0.25">
      <c r="C28">
        <v>90</v>
      </c>
      <c r="D28">
        <v>70</v>
      </c>
      <c r="E28">
        <v>20</v>
      </c>
      <c r="F28">
        <v>1926</v>
      </c>
      <c r="G28">
        <f t="shared" si="0"/>
        <v>0.7142857142857143</v>
      </c>
      <c r="I28">
        <f t="shared" si="1"/>
        <v>60</v>
      </c>
      <c r="K28" t="s">
        <v>119</v>
      </c>
    </row>
    <row r="29" spans="3:11" x14ac:dyDescent="0.25">
      <c r="C29">
        <v>90</v>
      </c>
      <c r="D29">
        <v>70</v>
      </c>
      <c r="E29">
        <v>20</v>
      </c>
      <c r="F29">
        <v>2709</v>
      </c>
      <c r="G29">
        <f t="shared" si="0"/>
        <v>0.7142857142857143</v>
      </c>
      <c r="I29">
        <f t="shared" si="1"/>
        <v>60</v>
      </c>
      <c r="K29" t="s">
        <v>120</v>
      </c>
    </row>
    <row r="30" spans="3:11" x14ac:dyDescent="0.25">
      <c r="C30">
        <v>90</v>
      </c>
      <c r="D30">
        <v>70</v>
      </c>
      <c r="E30">
        <v>20</v>
      </c>
      <c r="F30">
        <v>1711</v>
      </c>
      <c r="G30">
        <f t="shared" si="0"/>
        <v>0.7142857142857143</v>
      </c>
      <c r="I30">
        <f t="shared" si="1"/>
        <v>60</v>
      </c>
      <c r="K30" t="s">
        <v>121</v>
      </c>
    </row>
    <row r="31" spans="3:11" x14ac:dyDescent="0.25">
      <c r="C31">
        <v>90</v>
      </c>
      <c r="D31">
        <v>70</v>
      </c>
      <c r="E31">
        <v>20</v>
      </c>
      <c r="F31">
        <v>2167</v>
      </c>
      <c r="G31">
        <f t="shared" si="0"/>
        <v>0.7142857142857143</v>
      </c>
      <c r="I31">
        <f t="shared" si="1"/>
        <v>60</v>
      </c>
      <c r="K31" t="s">
        <v>122</v>
      </c>
    </row>
    <row r="32" spans="3:11" x14ac:dyDescent="0.25">
      <c r="C32">
        <v>90</v>
      </c>
      <c r="D32">
        <v>70</v>
      </c>
      <c r="E32">
        <v>20</v>
      </c>
      <c r="F32">
        <v>3047</v>
      </c>
      <c r="G32">
        <f t="shared" si="0"/>
        <v>0.7142857142857143</v>
      </c>
      <c r="I32">
        <f t="shared" si="1"/>
        <v>60</v>
      </c>
      <c r="K32" t="s">
        <v>123</v>
      </c>
    </row>
    <row r="33" spans="3:11" x14ac:dyDescent="0.25">
      <c r="C33">
        <v>90</v>
      </c>
      <c r="D33">
        <v>70</v>
      </c>
      <c r="E33">
        <v>20</v>
      </c>
      <c r="F33">
        <v>1901</v>
      </c>
      <c r="G33">
        <f t="shared" si="0"/>
        <v>0.7142857142857143</v>
      </c>
      <c r="I33">
        <f t="shared" si="1"/>
        <v>60</v>
      </c>
      <c r="K33" t="s">
        <v>124</v>
      </c>
    </row>
    <row r="34" spans="3:11" x14ac:dyDescent="0.25">
      <c r="C34">
        <v>90</v>
      </c>
      <c r="D34">
        <v>70</v>
      </c>
      <c r="E34">
        <v>20</v>
      </c>
      <c r="F34">
        <v>2408</v>
      </c>
      <c r="G34">
        <f t="shared" si="0"/>
        <v>0.7142857142857143</v>
      </c>
      <c r="I34">
        <f t="shared" si="1"/>
        <v>60</v>
      </c>
      <c r="K34" t="s">
        <v>125</v>
      </c>
    </row>
    <row r="35" spans="3:11" x14ac:dyDescent="0.25">
      <c r="C35">
        <v>90</v>
      </c>
      <c r="D35">
        <v>70</v>
      </c>
      <c r="E35">
        <v>20</v>
      </c>
      <c r="F35">
        <v>3386</v>
      </c>
      <c r="G35">
        <f t="shared" si="0"/>
        <v>0.7142857142857143</v>
      </c>
      <c r="I35">
        <f t="shared" si="1"/>
        <v>60</v>
      </c>
      <c r="K35" t="s">
        <v>126</v>
      </c>
    </row>
    <row r="36" spans="3:11" x14ac:dyDescent="0.25">
      <c r="C36">
        <v>90</v>
      </c>
      <c r="D36">
        <v>70</v>
      </c>
      <c r="E36">
        <v>20</v>
      </c>
      <c r="F36">
        <v>2769</v>
      </c>
      <c r="G36">
        <f t="shared" si="0"/>
        <v>0.7142857142857143</v>
      </c>
      <c r="I36">
        <f t="shared" si="1"/>
        <v>60</v>
      </c>
      <c r="K36" t="s">
        <v>127</v>
      </c>
    </row>
    <row r="37" spans="3:11" x14ac:dyDescent="0.25">
      <c r="C37">
        <v>90</v>
      </c>
      <c r="D37">
        <v>70</v>
      </c>
      <c r="E37">
        <v>20</v>
      </c>
      <c r="F37">
        <v>3894</v>
      </c>
      <c r="G37">
        <f t="shared" si="0"/>
        <v>0.7142857142857143</v>
      </c>
      <c r="I37">
        <f t="shared" si="1"/>
        <v>60</v>
      </c>
      <c r="K37" t="s">
        <v>128</v>
      </c>
    </row>
    <row r="38" spans="3:11" x14ac:dyDescent="0.25">
      <c r="C38">
        <v>90</v>
      </c>
      <c r="D38">
        <v>70</v>
      </c>
      <c r="E38">
        <v>20</v>
      </c>
      <c r="F38">
        <v>3130</v>
      </c>
      <c r="G38">
        <f t="shared" si="0"/>
        <v>0.7142857142857143</v>
      </c>
      <c r="I38">
        <f t="shared" si="1"/>
        <v>60</v>
      </c>
      <c r="K38" t="s">
        <v>129</v>
      </c>
    </row>
    <row r="39" spans="3:11" x14ac:dyDescent="0.25">
      <c r="C39">
        <v>90</v>
      </c>
      <c r="D39">
        <v>70</v>
      </c>
      <c r="E39">
        <v>20</v>
      </c>
      <c r="F39">
        <v>4401</v>
      </c>
      <c r="G39">
        <f t="shared" si="0"/>
        <v>0.7142857142857143</v>
      </c>
      <c r="I39">
        <f t="shared" si="1"/>
        <v>60</v>
      </c>
      <c r="K39" t="s">
        <v>130</v>
      </c>
    </row>
    <row r="40" spans="3:11" x14ac:dyDescent="0.25">
      <c r="C40">
        <v>90</v>
      </c>
      <c r="D40">
        <v>70</v>
      </c>
      <c r="E40">
        <v>20</v>
      </c>
      <c r="F40">
        <v>3611</v>
      </c>
      <c r="G40">
        <f t="shared" si="0"/>
        <v>0.7142857142857143</v>
      </c>
      <c r="I40">
        <f t="shared" si="1"/>
        <v>60</v>
      </c>
      <c r="K40" t="s">
        <v>131</v>
      </c>
    </row>
    <row r="41" spans="3:11" x14ac:dyDescent="0.25">
      <c r="C41">
        <v>90</v>
      </c>
      <c r="D41">
        <v>70</v>
      </c>
      <c r="E41">
        <v>20</v>
      </c>
      <c r="F41">
        <v>5079</v>
      </c>
      <c r="G41">
        <f t="shared" si="0"/>
        <v>0.7142857142857143</v>
      </c>
      <c r="I41">
        <f t="shared" si="1"/>
        <v>60</v>
      </c>
      <c r="K41" t="s">
        <v>132</v>
      </c>
    </row>
    <row r="42" spans="3:11" x14ac:dyDescent="0.25">
      <c r="C42">
        <v>90</v>
      </c>
      <c r="D42">
        <v>70</v>
      </c>
      <c r="E42">
        <v>20</v>
      </c>
      <c r="F42">
        <v>269</v>
      </c>
      <c r="G42">
        <f t="shared" si="0"/>
        <v>0.7142857142857143</v>
      </c>
      <c r="I42">
        <f t="shared" si="1"/>
        <v>60</v>
      </c>
      <c r="K42" t="s">
        <v>133</v>
      </c>
    </row>
    <row r="43" spans="3:11" x14ac:dyDescent="0.25">
      <c r="C43">
        <v>90</v>
      </c>
      <c r="D43">
        <v>70</v>
      </c>
      <c r="E43">
        <v>20</v>
      </c>
      <c r="F43">
        <v>369</v>
      </c>
      <c r="G43">
        <f t="shared" si="0"/>
        <v>0.7142857142857143</v>
      </c>
      <c r="I43">
        <f t="shared" si="1"/>
        <v>60</v>
      </c>
      <c r="K43" t="s">
        <v>134</v>
      </c>
    </row>
    <row r="44" spans="3:11" x14ac:dyDescent="0.25">
      <c r="C44">
        <v>90</v>
      </c>
      <c r="D44">
        <v>70</v>
      </c>
      <c r="E44">
        <v>20</v>
      </c>
      <c r="F44">
        <v>336</v>
      </c>
      <c r="G44">
        <f t="shared" si="0"/>
        <v>0.7142857142857143</v>
      </c>
      <c r="I44">
        <f t="shared" si="1"/>
        <v>60</v>
      </c>
      <c r="K44" t="s">
        <v>135</v>
      </c>
    </row>
    <row r="45" spans="3:11" x14ac:dyDescent="0.25">
      <c r="C45">
        <v>90</v>
      </c>
      <c r="D45">
        <v>70</v>
      </c>
      <c r="E45">
        <v>20</v>
      </c>
      <c r="F45">
        <v>462</v>
      </c>
      <c r="G45">
        <f t="shared" si="0"/>
        <v>0.7142857142857143</v>
      </c>
      <c r="I45">
        <f t="shared" si="1"/>
        <v>60</v>
      </c>
      <c r="K45" t="s">
        <v>136</v>
      </c>
    </row>
    <row r="46" spans="3:11" x14ac:dyDescent="0.25">
      <c r="C46">
        <v>90</v>
      </c>
      <c r="D46">
        <v>70</v>
      </c>
      <c r="E46">
        <v>20</v>
      </c>
      <c r="F46">
        <v>403</v>
      </c>
      <c r="G46">
        <f t="shared" si="0"/>
        <v>0.7142857142857143</v>
      </c>
      <c r="I46">
        <f t="shared" si="1"/>
        <v>60</v>
      </c>
      <c r="K46" t="s">
        <v>137</v>
      </c>
    </row>
    <row r="47" spans="3:11" x14ac:dyDescent="0.25">
      <c r="C47">
        <v>90</v>
      </c>
      <c r="D47">
        <v>70</v>
      </c>
      <c r="E47">
        <v>20</v>
      </c>
      <c r="F47">
        <v>554</v>
      </c>
      <c r="G47">
        <f t="shared" si="0"/>
        <v>0.7142857142857143</v>
      </c>
      <c r="I47">
        <f t="shared" si="1"/>
        <v>60</v>
      </c>
      <c r="K47" t="s">
        <v>138</v>
      </c>
    </row>
    <row r="48" spans="3:11" x14ac:dyDescent="0.25">
      <c r="C48">
        <v>90</v>
      </c>
      <c r="D48">
        <v>70</v>
      </c>
      <c r="E48">
        <v>20</v>
      </c>
      <c r="F48">
        <v>470</v>
      </c>
      <c r="G48">
        <f t="shared" si="0"/>
        <v>0.7142857142857143</v>
      </c>
      <c r="I48">
        <f t="shared" si="1"/>
        <v>60</v>
      </c>
      <c r="K48" t="s">
        <v>139</v>
      </c>
    </row>
    <row r="49" spans="3:11" x14ac:dyDescent="0.25">
      <c r="C49">
        <v>90</v>
      </c>
      <c r="D49">
        <v>70</v>
      </c>
      <c r="E49">
        <v>20</v>
      </c>
      <c r="F49">
        <v>646</v>
      </c>
      <c r="G49">
        <f t="shared" si="0"/>
        <v>0.7142857142857143</v>
      </c>
      <c r="I49">
        <f t="shared" si="1"/>
        <v>60</v>
      </c>
      <c r="K49" t="s">
        <v>140</v>
      </c>
    </row>
    <row r="50" spans="3:11" x14ac:dyDescent="0.25">
      <c r="C50">
        <v>90</v>
      </c>
      <c r="D50">
        <v>70</v>
      </c>
      <c r="E50">
        <v>20</v>
      </c>
      <c r="F50">
        <v>537</v>
      </c>
      <c r="G50">
        <f t="shared" si="0"/>
        <v>0.7142857142857143</v>
      </c>
      <c r="I50">
        <f t="shared" si="1"/>
        <v>60</v>
      </c>
      <c r="K50" t="s">
        <v>141</v>
      </c>
    </row>
    <row r="51" spans="3:11" x14ac:dyDescent="0.25">
      <c r="C51">
        <v>90</v>
      </c>
      <c r="D51">
        <v>70</v>
      </c>
      <c r="E51">
        <v>20</v>
      </c>
      <c r="F51">
        <v>738</v>
      </c>
      <c r="G51">
        <f t="shared" si="0"/>
        <v>0.7142857142857143</v>
      </c>
      <c r="I51">
        <f t="shared" si="1"/>
        <v>60</v>
      </c>
      <c r="K51" t="s">
        <v>142</v>
      </c>
    </row>
    <row r="52" spans="3:11" x14ac:dyDescent="0.25">
      <c r="C52">
        <v>90</v>
      </c>
      <c r="D52">
        <v>70</v>
      </c>
      <c r="E52">
        <v>20</v>
      </c>
      <c r="F52">
        <v>604</v>
      </c>
      <c r="G52">
        <f t="shared" si="0"/>
        <v>0.7142857142857143</v>
      </c>
      <c r="I52">
        <f t="shared" si="1"/>
        <v>60</v>
      </c>
      <c r="K52" t="s">
        <v>143</v>
      </c>
    </row>
    <row r="53" spans="3:11" x14ac:dyDescent="0.25">
      <c r="C53">
        <v>90</v>
      </c>
      <c r="D53">
        <v>70</v>
      </c>
      <c r="E53">
        <v>20</v>
      </c>
      <c r="F53">
        <v>831</v>
      </c>
      <c r="G53">
        <f t="shared" si="0"/>
        <v>0.7142857142857143</v>
      </c>
      <c r="I53">
        <f t="shared" si="1"/>
        <v>60</v>
      </c>
      <c r="K53" t="s">
        <v>144</v>
      </c>
    </row>
    <row r="54" spans="3:11" x14ac:dyDescent="0.25">
      <c r="C54">
        <v>90</v>
      </c>
      <c r="D54">
        <v>70</v>
      </c>
      <c r="E54">
        <v>20</v>
      </c>
      <c r="F54">
        <v>672</v>
      </c>
      <c r="G54">
        <f t="shared" si="0"/>
        <v>0.7142857142857143</v>
      </c>
      <c r="I54">
        <f t="shared" si="1"/>
        <v>60</v>
      </c>
      <c r="K54" t="s">
        <v>145</v>
      </c>
    </row>
    <row r="55" spans="3:11" x14ac:dyDescent="0.25">
      <c r="C55">
        <v>90</v>
      </c>
      <c r="D55">
        <v>70</v>
      </c>
      <c r="E55">
        <v>20</v>
      </c>
      <c r="F55">
        <v>923</v>
      </c>
      <c r="G55">
        <f t="shared" si="0"/>
        <v>0.7142857142857143</v>
      </c>
      <c r="I55">
        <f t="shared" si="1"/>
        <v>60</v>
      </c>
      <c r="K55" t="s">
        <v>146</v>
      </c>
    </row>
    <row r="56" spans="3:11" x14ac:dyDescent="0.25">
      <c r="C56">
        <v>90</v>
      </c>
      <c r="D56">
        <v>70</v>
      </c>
      <c r="E56">
        <v>20</v>
      </c>
      <c r="F56">
        <v>739</v>
      </c>
      <c r="G56">
        <f t="shared" si="0"/>
        <v>0.7142857142857143</v>
      </c>
      <c r="I56">
        <f t="shared" si="1"/>
        <v>60</v>
      </c>
      <c r="K56" t="s">
        <v>147</v>
      </c>
    </row>
    <row r="57" spans="3:11" x14ac:dyDescent="0.25">
      <c r="C57">
        <v>90</v>
      </c>
      <c r="D57">
        <v>70</v>
      </c>
      <c r="E57">
        <v>20</v>
      </c>
      <c r="F57">
        <v>1015</v>
      </c>
      <c r="G57">
        <f t="shared" si="0"/>
        <v>0.7142857142857143</v>
      </c>
      <c r="I57">
        <f t="shared" si="1"/>
        <v>60</v>
      </c>
      <c r="K57" t="s">
        <v>148</v>
      </c>
    </row>
    <row r="58" spans="3:11" x14ac:dyDescent="0.25">
      <c r="C58">
        <v>90</v>
      </c>
      <c r="D58">
        <v>70</v>
      </c>
      <c r="E58">
        <v>20</v>
      </c>
      <c r="F58">
        <v>806</v>
      </c>
      <c r="G58">
        <f t="shared" si="0"/>
        <v>0.7142857142857143</v>
      </c>
      <c r="I58">
        <f t="shared" si="1"/>
        <v>60</v>
      </c>
      <c r="K58" t="s">
        <v>149</v>
      </c>
    </row>
    <row r="59" spans="3:11" x14ac:dyDescent="0.25">
      <c r="C59">
        <v>90</v>
      </c>
      <c r="D59">
        <v>70</v>
      </c>
      <c r="E59">
        <v>20</v>
      </c>
      <c r="F59">
        <v>1108</v>
      </c>
      <c r="G59">
        <f t="shared" si="0"/>
        <v>0.7142857142857143</v>
      </c>
      <c r="I59">
        <f t="shared" si="1"/>
        <v>60</v>
      </c>
      <c r="K59" t="s">
        <v>150</v>
      </c>
    </row>
    <row r="60" spans="3:11" x14ac:dyDescent="0.25">
      <c r="C60">
        <v>90</v>
      </c>
      <c r="D60">
        <v>70</v>
      </c>
      <c r="E60">
        <v>20</v>
      </c>
      <c r="F60">
        <v>940</v>
      </c>
      <c r="G60">
        <f t="shared" si="0"/>
        <v>0.7142857142857143</v>
      </c>
      <c r="I60">
        <f t="shared" si="1"/>
        <v>60</v>
      </c>
      <c r="K60" t="s">
        <v>151</v>
      </c>
    </row>
    <row r="61" spans="3:11" x14ac:dyDescent="0.25">
      <c r="C61">
        <v>90</v>
      </c>
      <c r="D61">
        <v>70</v>
      </c>
      <c r="E61">
        <v>20</v>
      </c>
      <c r="F61">
        <v>1292</v>
      </c>
      <c r="G61">
        <f t="shared" si="0"/>
        <v>0.7142857142857143</v>
      </c>
      <c r="I61">
        <f t="shared" si="1"/>
        <v>60</v>
      </c>
      <c r="K61" t="s">
        <v>152</v>
      </c>
    </row>
    <row r="62" spans="3:11" x14ac:dyDescent="0.25">
      <c r="C62">
        <v>90</v>
      </c>
      <c r="D62">
        <v>70</v>
      </c>
      <c r="E62">
        <v>20</v>
      </c>
      <c r="F62">
        <v>1075</v>
      </c>
      <c r="G62">
        <f t="shared" si="0"/>
        <v>0.7142857142857143</v>
      </c>
      <c r="I62">
        <f t="shared" si="1"/>
        <v>60</v>
      </c>
      <c r="K62" t="s">
        <v>153</v>
      </c>
    </row>
    <row r="63" spans="3:11" x14ac:dyDescent="0.25">
      <c r="C63">
        <v>90</v>
      </c>
      <c r="D63">
        <v>70</v>
      </c>
      <c r="E63">
        <v>20</v>
      </c>
      <c r="F63">
        <v>1477</v>
      </c>
      <c r="G63">
        <f t="shared" si="0"/>
        <v>0.7142857142857143</v>
      </c>
      <c r="I63">
        <f t="shared" si="1"/>
        <v>60</v>
      </c>
      <c r="K63" t="s">
        <v>154</v>
      </c>
    </row>
    <row r="64" spans="3:11" x14ac:dyDescent="0.25">
      <c r="C64">
        <v>90</v>
      </c>
      <c r="D64">
        <v>70</v>
      </c>
      <c r="E64">
        <v>20</v>
      </c>
      <c r="F64">
        <v>1209</v>
      </c>
      <c r="G64">
        <f t="shared" si="0"/>
        <v>0.7142857142857143</v>
      </c>
      <c r="I64">
        <f t="shared" si="1"/>
        <v>60</v>
      </c>
      <c r="K64" t="s">
        <v>155</v>
      </c>
    </row>
    <row r="65" spans="3:11" x14ac:dyDescent="0.25">
      <c r="C65">
        <v>90</v>
      </c>
      <c r="D65">
        <v>70</v>
      </c>
      <c r="E65">
        <v>20</v>
      </c>
      <c r="F65">
        <v>1662</v>
      </c>
      <c r="G65">
        <f t="shared" si="0"/>
        <v>0.7142857142857143</v>
      </c>
      <c r="I65">
        <f t="shared" si="1"/>
        <v>60</v>
      </c>
      <c r="K65" t="s">
        <v>156</v>
      </c>
    </row>
    <row r="66" spans="3:11" x14ac:dyDescent="0.25">
      <c r="C66">
        <v>90</v>
      </c>
      <c r="D66">
        <v>70</v>
      </c>
      <c r="E66">
        <v>20</v>
      </c>
      <c r="F66">
        <v>1343</v>
      </c>
      <c r="G66">
        <f t="shared" si="0"/>
        <v>0.7142857142857143</v>
      </c>
      <c r="I66">
        <f t="shared" si="1"/>
        <v>60</v>
      </c>
      <c r="K66" t="s">
        <v>157</v>
      </c>
    </row>
    <row r="67" spans="3:11" x14ac:dyDescent="0.25">
      <c r="C67">
        <v>90</v>
      </c>
      <c r="D67">
        <v>70</v>
      </c>
      <c r="E67">
        <v>20</v>
      </c>
      <c r="F67">
        <v>1846</v>
      </c>
      <c r="G67">
        <f t="shared" ref="G67:G119" si="2">(D67-E67)/(C67-E67)</f>
        <v>0.7142857142857143</v>
      </c>
      <c r="I67">
        <f t="shared" ref="I67:I119" si="3">IF(G67&gt;=0.7,(C67+D67)/2-E67,(C67-D67)/(LN((C67-E67)/(D67-E67))))</f>
        <v>60</v>
      </c>
      <c r="K67" t="s">
        <v>158</v>
      </c>
    </row>
    <row r="68" spans="3:11" x14ac:dyDescent="0.25">
      <c r="C68">
        <v>90</v>
      </c>
      <c r="D68">
        <v>70</v>
      </c>
      <c r="E68">
        <v>20</v>
      </c>
      <c r="F68">
        <v>482</v>
      </c>
      <c r="G68">
        <f t="shared" si="2"/>
        <v>0.7142857142857143</v>
      </c>
      <c r="I68">
        <f t="shared" si="3"/>
        <v>60</v>
      </c>
      <c r="K68" t="s">
        <v>159</v>
      </c>
    </row>
    <row r="69" spans="3:11" x14ac:dyDescent="0.25">
      <c r="C69">
        <v>90</v>
      </c>
      <c r="D69">
        <v>70</v>
      </c>
      <c r="E69">
        <v>20</v>
      </c>
      <c r="F69">
        <v>860</v>
      </c>
      <c r="G69">
        <f t="shared" si="2"/>
        <v>0.7142857142857143</v>
      </c>
      <c r="I69">
        <f t="shared" si="3"/>
        <v>60</v>
      </c>
      <c r="K69" t="s">
        <v>160</v>
      </c>
    </row>
    <row r="70" spans="3:11" x14ac:dyDescent="0.25">
      <c r="C70">
        <v>90</v>
      </c>
      <c r="D70">
        <v>70</v>
      </c>
      <c r="E70">
        <v>20</v>
      </c>
      <c r="F70">
        <v>602</v>
      </c>
      <c r="G70">
        <f t="shared" si="2"/>
        <v>0.7142857142857143</v>
      </c>
      <c r="I70">
        <f t="shared" si="3"/>
        <v>60</v>
      </c>
      <c r="K70" t="s">
        <v>161</v>
      </c>
    </row>
    <row r="71" spans="3:11" x14ac:dyDescent="0.25">
      <c r="C71">
        <v>90</v>
      </c>
      <c r="D71">
        <v>70</v>
      </c>
      <c r="E71">
        <v>20</v>
      </c>
      <c r="F71">
        <v>1075</v>
      </c>
      <c r="G71">
        <f t="shared" si="2"/>
        <v>0.7142857142857143</v>
      </c>
      <c r="I71">
        <f t="shared" si="3"/>
        <v>60</v>
      </c>
      <c r="K71" t="s">
        <v>162</v>
      </c>
    </row>
    <row r="72" spans="3:11" x14ac:dyDescent="0.25">
      <c r="C72">
        <v>90</v>
      </c>
      <c r="D72">
        <v>70</v>
      </c>
      <c r="E72">
        <v>20</v>
      </c>
      <c r="F72">
        <v>723</v>
      </c>
      <c r="G72">
        <f t="shared" si="2"/>
        <v>0.7142857142857143</v>
      </c>
      <c r="I72">
        <f t="shared" si="3"/>
        <v>60</v>
      </c>
      <c r="K72" t="s">
        <v>163</v>
      </c>
    </row>
    <row r="73" spans="3:11" x14ac:dyDescent="0.25">
      <c r="C73">
        <v>90</v>
      </c>
      <c r="D73">
        <v>70</v>
      </c>
      <c r="E73">
        <v>20</v>
      </c>
      <c r="F73">
        <v>1290</v>
      </c>
      <c r="G73">
        <f t="shared" si="2"/>
        <v>0.7142857142857143</v>
      </c>
      <c r="I73">
        <f t="shared" si="3"/>
        <v>60</v>
      </c>
      <c r="K73" t="s">
        <v>164</v>
      </c>
    </row>
    <row r="74" spans="3:11" x14ac:dyDescent="0.25">
      <c r="C74">
        <v>90</v>
      </c>
      <c r="D74">
        <v>70</v>
      </c>
      <c r="E74">
        <v>20</v>
      </c>
      <c r="F74">
        <v>843</v>
      </c>
      <c r="G74">
        <f t="shared" si="2"/>
        <v>0.7142857142857143</v>
      </c>
      <c r="I74">
        <f t="shared" si="3"/>
        <v>60</v>
      </c>
      <c r="K74" t="s">
        <v>165</v>
      </c>
    </row>
    <row r="75" spans="3:11" x14ac:dyDescent="0.25">
      <c r="C75">
        <v>90</v>
      </c>
      <c r="D75">
        <v>70</v>
      </c>
      <c r="E75">
        <v>20</v>
      </c>
      <c r="F75">
        <v>1505</v>
      </c>
      <c r="G75">
        <f t="shared" si="2"/>
        <v>0.7142857142857143</v>
      </c>
      <c r="I75">
        <f t="shared" si="3"/>
        <v>60</v>
      </c>
      <c r="K75" t="s">
        <v>166</v>
      </c>
    </row>
    <row r="76" spans="3:11" x14ac:dyDescent="0.25">
      <c r="C76">
        <v>90</v>
      </c>
      <c r="D76">
        <v>70</v>
      </c>
      <c r="E76">
        <v>20</v>
      </c>
      <c r="F76">
        <v>964</v>
      </c>
      <c r="G76">
        <f t="shared" si="2"/>
        <v>0.7142857142857143</v>
      </c>
      <c r="I76">
        <f t="shared" si="3"/>
        <v>60</v>
      </c>
      <c r="K76" t="s">
        <v>167</v>
      </c>
    </row>
    <row r="77" spans="3:11" x14ac:dyDescent="0.25">
      <c r="C77">
        <v>90</v>
      </c>
      <c r="D77">
        <v>70</v>
      </c>
      <c r="E77">
        <v>20</v>
      </c>
      <c r="F77">
        <v>1363</v>
      </c>
      <c r="G77">
        <f t="shared" si="2"/>
        <v>0.7142857142857143</v>
      </c>
      <c r="I77">
        <f t="shared" si="3"/>
        <v>60</v>
      </c>
      <c r="K77" t="s">
        <v>168</v>
      </c>
    </row>
    <row r="78" spans="3:11" x14ac:dyDescent="0.25">
      <c r="C78">
        <v>90</v>
      </c>
      <c r="D78">
        <v>70</v>
      </c>
      <c r="E78">
        <v>20</v>
      </c>
      <c r="F78">
        <v>1084</v>
      </c>
      <c r="G78">
        <f t="shared" si="2"/>
        <v>0.7142857142857143</v>
      </c>
      <c r="I78">
        <f t="shared" si="3"/>
        <v>60</v>
      </c>
      <c r="K78" t="s">
        <v>169</v>
      </c>
    </row>
    <row r="79" spans="3:11" x14ac:dyDescent="0.25">
      <c r="C79">
        <v>90</v>
      </c>
      <c r="D79">
        <v>70</v>
      </c>
      <c r="E79">
        <v>20</v>
      </c>
      <c r="F79">
        <v>1533</v>
      </c>
      <c r="G79">
        <f t="shared" si="2"/>
        <v>0.7142857142857143</v>
      </c>
      <c r="I79">
        <f t="shared" si="3"/>
        <v>60</v>
      </c>
      <c r="K79" t="s">
        <v>170</v>
      </c>
    </row>
    <row r="80" spans="3:11" x14ac:dyDescent="0.25">
      <c r="C80">
        <v>90</v>
      </c>
      <c r="D80">
        <v>70</v>
      </c>
      <c r="E80">
        <v>20</v>
      </c>
      <c r="F80">
        <v>1205</v>
      </c>
      <c r="G80">
        <f t="shared" si="2"/>
        <v>0.7142857142857143</v>
      </c>
      <c r="I80">
        <f t="shared" si="3"/>
        <v>60</v>
      </c>
      <c r="K80" t="s">
        <v>171</v>
      </c>
    </row>
    <row r="81" spans="3:11" x14ac:dyDescent="0.25">
      <c r="C81">
        <v>90</v>
      </c>
      <c r="D81">
        <v>70</v>
      </c>
      <c r="E81">
        <v>20</v>
      </c>
      <c r="F81">
        <v>1703</v>
      </c>
      <c r="G81">
        <f t="shared" si="2"/>
        <v>0.7142857142857143</v>
      </c>
      <c r="I81">
        <f t="shared" si="3"/>
        <v>60</v>
      </c>
      <c r="K81" t="s">
        <v>172</v>
      </c>
    </row>
    <row r="82" spans="3:11" x14ac:dyDescent="0.25">
      <c r="C82">
        <v>90</v>
      </c>
      <c r="D82">
        <v>70</v>
      </c>
      <c r="E82">
        <v>20</v>
      </c>
      <c r="F82">
        <v>1325</v>
      </c>
      <c r="G82">
        <f t="shared" si="2"/>
        <v>0.7142857142857143</v>
      </c>
      <c r="I82">
        <f t="shared" si="3"/>
        <v>60</v>
      </c>
      <c r="K82" t="s">
        <v>173</v>
      </c>
    </row>
    <row r="83" spans="3:11" x14ac:dyDescent="0.25">
      <c r="C83">
        <v>90</v>
      </c>
      <c r="D83">
        <v>70</v>
      </c>
      <c r="E83">
        <v>20</v>
      </c>
      <c r="F83">
        <v>1874</v>
      </c>
      <c r="G83">
        <f t="shared" si="2"/>
        <v>0.7142857142857143</v>
      </c>
      <c r="I83">
        <f t="shared" si="3"/>
        <v>60</v>
      </c>
      <c r="K83" t="s">
        <v>174</v>
      </c>
    </row>
    <row r="84" spans="3:11" x14ac:dyDescent="0.25">
      <c r="C84">
        <v>90</v>
      </c>
      <c r="D84">
        <v>70</v>
      </c>
      <c r="E84">
        <v>20</v>
      </c>
      <c r="F84">
        <v>1446</v>
      </c>
      <c r="G84">
        <f t="shared" si="2"/>
        <v>0.7142857142857143</v>
      </c>
      <c r="I84">
        <f t="shared" si="3"/>
        <v>60</v>
      </c>
      <c r="K84" t="s">
        <v>175</v>
      </c>
    </row>
    <row r="85" spans="3:11" x14ac:dyDescent="0.25">
      <c r="C85">
        <v>90</v>
      </c>
      <c r="D85">
        <v>70</v>
      </c>
      <c r="E85">
        <v>20</v>
      </c>
      <c r="F85">
        <v>2044</v>
      </c>
      <c r="G85">
        <f t="shared" si="2"/>
        <v>0.7142857142857143</v>
      </c>
      <c r="I85">
        <f t="shared" si="3"/>
        <v>60</v>
      </c>
      <c r="K85" t="s">
        <v>176</v>
      </c>
    </row>
    <row r="86" spans="3:11" x14ac:dyDescent="0.25">
      <c r="C86">
        <v>90</v>
      </c>
      <c r="D86">
        <v>70</v>
      </c>
      <c r="E86">
        <v>20</v>
      </c>
      <c r="F86">
        <v>1687</v>
      </c>
      <c r="G86">
        <f t="shared" si="2"/>
        <v>0.7142857142857143</v>
      </c>
      <c r="I86">
        <f t="shared" si="3"/>
        <v>60</v>
      </c>
      <c r="K86" t="s">
        <v>177</v>
      </c>
    </row>
    <row r="87" spans="3:11" x14ac:dyDescent="0.25">
      <c r="C87">
        <v>90</v>
      </c>
      <c r="D87">
        <v>70</v>
      </c>
      <c r="E87">
        <v>20</v>
      </c>
      <c r="F87">
        <v>2385</v>
      </c>
      <c r="G87">
        <f t="shared" si="2"/>
        <v>0.7142857142857143</v>
      </c>
      <c r="I87">
        <f t="shared" si="3"/>
        <v>60</v>
      </c>
      <c r="K87" t="s">
        <v>178</v>
      </c>
    </row>
    <row r="88" spans="3:11" x14ac:dyDescent="0.25">
      <c r="C88">
        <v>90</v>
      </c>
      <c r="D88">
        <v>70</v>
      </c>
      <c r="E88">
        <v>20</v>
      </c>
      <c r="F88">
        <v>1927</v>
      </c>
      <c r="G88">
        <f t="shared" si="2"/>
        <v>0.7142857142857143</v>
      </c>
      <c r="I88">
        <f t="shared" si="3"/>
        <v>60</v>
      </c>
      <c r="K88" t="s">
        <v>179</v>
      </c>
    </row>
    <row r="89" spans="3:11" x14ac:dyDescent="0.25">
      <c r="C89">
        <v>90</v>
      </c>
      <c r="D89">
        <v>70</v>
      </c>
      <c r="E89">
        <v>20</v>
      </c>
      <c r="F89">
        <v>2725</v>
      </c>
      <c r="G89">
        <f t="shared" si="2"/>
        <v>0.7142857142857143</v>
      </c>
      <c r="I89">
        <f t="shared" si="3"/>
        <v>60</v>
      </c>
      <c r="K89" t="s">
        <v>180</v>
      </c>
    </row>
    <row r="90" spans="3:11" x14ac:dyDescent="0.25">
      <c r="C90">
        <v>90</v>
      </c>
      <c r="D90">
        <v>70</v>
      </c>
      <c r="E90">
        <v>20</v>
      </c>
      <c r="F90">
        <v>2168</v>
      </c>
      <c r="G90">
        <f t="shared" si="2"/>
        <v>0.7142857142857143</v>
      </c>
      <c r="I90">
        <f t="shared" si="3"/>
        <v>60</v>
      </c>
      <c r="K90" t="s">
        <v>181</v>
      </c>
    </row>
    <row r="91" spans="3:11" x14ac:dyDescent="0.25">
      <c r="C91">
        <v>90</v>
      </c>
      <c r="D91">
        <v>70</v>
      </c>
      <c r="E91">
        <v>20</v>
      </c>
      <c r="F91">
        <v>3066</v>
      </c>
      <c r="G91">
        <f t="shared" si="2"/>
        <v>0.7142857142857143</v>
      </c>
      <c r="I91">
        <f t="shared" si="3"/>
        <v>60</v>
      </c>
      <c r="K91" t="s">
        <v>182</v>
      </c>
    </row>
    <row r="92" spans="3:11" x14ac:dyDescent="0.25">
      <c r="C92">
        <v>90</v>
      </c>
      <c r="D92">
        <v>70</v>
      </c>
      <c r="E92">
        <v>20</v>
      </c>
      <c r="F92">
        <v>2409</v>
      </c>
      <c r="G92">
        <f t="shared" si="2"/>
        <v>0.7142857142857143</v>
      </c>
      <c r="I92">
        <f t="shared" si="3"/>
        <v>60</v>
      </c>
      <c r="K92" t="s">
        <v>183</v>
      </c>
    </row>
    <row r="93" spans="3:11" x14ac:dyDescent="0.25">
      <c r="C93">
        <v>90</v>
      </c>
      <c r="D93">
        <v>70</v>
      </c>
      <c r="E93">
        <v>20</v>
      </c>
      <c r="F93">
        <v>3407</v>
      </c>
      <c r="G93">
        <f t="shared" si="2"/>
        <v>0.7142857142857143</v>
      </c>
      <c r="I93">
        <f t="shared" si="3"/>
        <v>60</v>
      </c>
      <c r="K93" t="s">
        <v>184</v>
      </c>
    </row>
    <row r="94" spans="3:11" x14ac:dyDescent="0.25">
      <c r="C94">
        <v>90</v>
      </c>
      <c r="D94">
        <v>70</v>
      </c>
      <c r="E94">
        <v>20</v>
      </c>
      <c r="F94">
        <v>269</v>
      </c>
      <c r="G94">
        <f t="shared" si="2"/>
        <v>0.7142857142857143</v>
      </c>
      <c r="I94">
        <f t="shared" si="3"/>
        <v>60</v>
      </c>
      <c r="K94" t="s">
        <v>185</v>
      </c>
    </row>
    <row r="95" spans="3:11" x14ac:dyDescent="0.25">
      <c r="C95">
        <v>90</v>
      </c>
      <c r="D95">
        <v>70</v>
      </c>
      <c r="E95">
        <v>20</v>
      </c>
      <c r="F95">
        <v>369</v>
      </c>
      <c r="G95">
        <f t="shared" si="2"/>
        <v>0.7142857142857143</v>
      </c>
      <c r="I95">
        <f t="shared" si="3"/>
        <v>60</v>
      </c>
      <c r="K95" t="s">
        <v>186</v>
      </c>
    </row>
    <row r="96" spans="3:11" x14ac:dyDescent="0.25">
      <c r="C96">
        <v>90</v>
      </c>
      <c r="D96">
        <v>70</v>
      </c>
      <c r="E96">
        <v>20</v>
      </c>
      <c r="F96">
        <v>336</v>
      </c>
      <c r="G96">
        <f t="shared" si="2"/>
        <v>0.7142857142857143</v>
      </c>
      <c r="I96">
        <f t="shared" si="3"/>
        <v>60</v>
      </c>
      <c r="K96" t="s">
        <v>187</v>
      </c>
    </row>
    <row r="97" spans="3:11" x14ac:dyDescent="0.25">
      <c r="C97">
        <v>90</v>
      </c>
      <c r="D97">
        <v>70</v>
      </c>
      <c r="E97">
        <v>20</v>
      </c>
      <c r="F97">
        <v>462</v>
      </c>
      <c r="G97">
        <f t="shared" si="2"/>
        <v>0.7142857142857143</v>
      </c>
      <c r="I97">
        <f t="shared" si="3"/>
        <v>60</v>
      </c>
      <c r="K97" t="s">
        <v>188</v>
      </c>
    </row>
    <row r="98" spans="3:11" x14ac:dyDescent="0.25">
      <c r="C98">
        <v>90</v>
      </c>
      <c r="D98">
        <v>70</v>
      </c>
      <c r="E98">
        <v>20</v>
      </c>
      <c r="F98">
        <v>403</v>
      </c>
      <c r="G98">
        <f t="shared" si="2"/>
        <v>0.7142857142857143</v>
      </c>
      <c r="I98">
        <f t="shared" si="3"/>
        <v>60</v>
      </c>
      <c r="K98" t="s">
        <v>189</v>
      </c>
    </row>
    <row r="99" spans="3:11" x14ac:dyDescent="0.25">
      <c r="C99">
        <v>90</v>
      </c>
      <c r="D99">
        <v>70</v>
      </c>
      <c r="E99">
        <v>20</v>
      </c>
      <c r="F99">
        <v>554</v>
      </c>
      <c r="G99">
        <f t="shared" si="2"/>
        <v>0.7142857142857143</v>
      </c>
      <c r="I99">
        <f t="shared" si="3"/>
        <v>60</v>
      </c>
      <c r="K99" t="s">
        <v>190</v>
      </c>
    </row>
    <row r="100" spans="3:11" x14ac:dyDescent="0.25">
      <c r="C100">
        <v>90</v>
      </c>
      <c r="D100">
        <v>70</v>
      </c>
      <c r="E100">
        <v>20</v>
      </c>
      <c r="F100">
        <v>470</v>
      </c>
      <c r="G100">
        <f t="shared" si="2"/>
        <v>0.7142857142857143</v>
      </c>
      <c r="I100">
        <f t="shared" si="3"/>
        <v>60</v>
      </c>
      <c r="K100" t="s">
        <v>191</v>
      </c>
    </row>
    <row r="101" spans="3:11" x14ac:dyDescent="0.25">
      <c r="C101">
        <v>90</v>
      </c>
      <c r="D101">
        <v>70</v>
      </c>
      <c r="E101">
        <v>20</v>
      </c>
      <c r="F101">
        <v>646</v>
      </c>
      <c r="G101">
        <f t="shared" si="2"/>
        <v>0.7142857142857143</v>
      </c>
      <c r="I101">
        <f t="shared" si="3"/>
        <v>60</v>
      </c>
      <c r="K101" t="s">
        <v>192</v>
      </c>
    </row>
    <row r="102" spans="3:11" x14ac:dyDescent="0.25">
      <c r="C102">
        <v>90</v>
      </c>
      <c r="D102">
        <v>70</v>
      </c>
      <c r="E102">
        <v>20</v>
      </c>
      <c r="F102">
        <v>537</v>
      </c>
      <c r="G102">
        <f t="shared" si="2"/>
        <v>0.7142857142857143</v>
      </c>
      <c r="I102">
        <f t="shared" si="3"/>
        <v>60</v>
      </c>
      <c r="K102" t="s">
        <v>193</v>
      </c>
    </row>
    <row r="103" spans="3:11" x14ac:dyDescent="0.25">
      <c r="C103">
        <v>90</v>
      </c>
      <c r="D103">
        <v>70</v>
      </c>
      <c r="E103">
        <v>20</v>
      </c>
      <c r="F103">
        <v>738</v>
      </c>
      <c r="G103">
        <f t="shared" si="2"/>
        <v>0.7142857142857143</v>
      </c>
      <c r="I103">
        <f t="shared" si="3"/>
        <v>60</v>
      </c>
      <c r="K103" t="s">
        <v>194</v>
      </c>
    </row>
    <row r="104" spans="3:11" x14ac:dyDescent="0.25">
      <c r="C104">
        <v>90</v>
      </c>
      <c r="D104">
        <v>70</v>
      </c>
      <c r="E104">
        <v>20</v>
      </c>
      <c r="F104">
        <v>604</v>
      </c>
      <c r="G104">
        <f t="shared" si="2"/>
        <v>0.7142857142857143</v>
      </c>
      <c r="I104">
        <f t="shared" si="3"/>
        <v>60</v>
      </c>
      <c r="K104" t="s">
        <v>195</v>
      </c>
    </row>
    <row r="105" spans="3:11" x14ac:dyDescent="0.25">
      <c r="C105">
        <v>90</v>
      </c>
      <c r="D105">
        <v>70</v>
      </c>
      <c r="E105">
        <v>20</v>
      </c>
      <c r="F105">
        <v>831</v>
      </c>
      <c r="G105">
        <f t="shared" si="2"/>
        <v>0.7142857142857143</v>
      </c>
      <c r="I105">
        <f t="shared" si="3"/>
        <v>60</v>
      </c>
      <c r="K105" t="s">
        <v>196</v>
      </c>
    </row>
    <row r="106" spans="3:11" x14ac:dyDescent="0.25">
      <c r="C106">
        <v>90</v>
      </c>
      <c r="D106">
        <v>70</v>
      </c>
      <c r="E106">
        <v>20</v>
      </c>
      <c r="F106">
        <v>672</v>
      </c>
      <c r="G106">
        <f t="shared" si="2"/>
        <v>0.7142857142857143</v>
      </c>
      <c r="I106">
        <f t="shared" si="3"/>
        <v>60</v>
      </c>
      <c r="K106" t="s">
        <v>197</v>
      </c>
    </row>
    <row r="107" spans="3:11" x14ac:dyDescent="0.25">
      <c r="C107">
        <v>90</v>
      </c>
      <c r="D107">
        <v>70</v>
      </c>
      <c r="E107">
        <v>20</v>
      </c>
      <c r="F107">
        <v>923</v>
      </c>
      <c r="G107">
        <f t="shared" si="2"/>
        <v>0.7142857142857143</v>
      </c>
      <c r="I107">
        <f t="shared" si="3"/>
        <v>60</v>
      </c>
      <c r="K107" t="s">
        <v>198</v>
      </c>
    </row>
    <row r="108" spans="3:11" x14ac:dyDescent="0.25">
      <c r="C108">
        <v>90</v>
      </c>
      <c r="D108">
        <v>70</v>
      </c>
      <c r="E108">
        <v>20</v>
      </c>
      <c r="F108">
        <v>739</v>
      </c>
      <c r="G108">
        <f t="shared" si="2"/>
        <v>0.7142857142857143</v>
      </c>
      <c r="I108">
        <f t="shared" si="3"/>
        <v>60</v>
      </c>
      <c r="K108" t="s">
        <v>199</v>
      </c>
    </row>
    <row r="109" spans="3:11" x14ac:dyDescent="0.25">
      <c r="C109">
        <v>90</v>
      </c>
      <c r="D109">
        <v>70</v>
      </c>
      <c r="E109">
        <v>20</v>
      </c>
      <c r="F109">
        <v>1015</v>
      </c>
      <c r="G109">
        <f t="shared" si="2"/>
        <v>0.7142857142857143</v>
      </c>
      <c r="I109">
        <f t="shared" si="3"/>
        <v>60</v>
      </c>
      <c r="K109" t="s">
        <v>200</v>
      </c>
    </row>
    <row r="110" spans="3:11" x14ac:dyDescent="0.25">
      <c r="C110">
        <v>90</v>
      </c>
      <c r="D110">
        <v>70</v>
      </c>
      <c r="E110">
        <v>20</v>
      </c>
      <c r="F110">
        <v>806</v>
      </c>
      <c r="G110">
        <f t="shared" si="2"/>
        <v>0.7142857142857143</v>
      </c>
      <c r="I110">
        <f t="shared" si="3"/>
        <v>60</v>
      </c>
      <c r="K110" t="s">
        <v>201</v>
      </c>
    </row>
    <row r="111" spans="3:11" x14ac:dyDescent="0.25">
      <c r="C111">
        <v>90</v>
      </c>
      <c r="D111">
        <v>70</v>
      </c>
      <c r="E111">
        <v>20</v>
      </c>
      <c r="F111">
        <v>1108</v>
      </c>
      <c r="G111">
        <f t="shared" si="2"/>
        <v>0.7142857142857143</v>
      </c>
      <c r="I111">
        <f t="shared" si="3"/>
        <v>60</v>
      </c>
      <c r="K111" t="s">
        <v>202</v>
      </c>
    </row>
    <row r="112" spans="3:11" x14ac:dyDescent="0.25">
      <c r="C112">
        <v>90</v>
      </c>
      <c r="D112">
        <v>70</v>
      </c>
      <c r="E112">
        <v>20</v>
      </c>
      <c r="F112">
        <v>940</v>
      </c>
      <c r="G112">
        <f t="shared" si="2"/>
        <v>0.7142857142857143</v>
      </c>
      <c r="I112">
        <f t="shared" si="3"/>
        <v>60</v>
      </c>
      <c r="K112" t="s">
        <v>203</v>
      </c>
    </row>
    <row r="113" spans="3:11" x14ac:dyDescent="0.25">
      <c r="C113">
        <v>90</v>
      </c>
      <c r="D113">
        <v>70</v>
      </c>
      <c r="E113">
        <v>20</v>
      </c>
      <c r="F113">
        <v>1292</v>
      </c>
      <c r="G113">
        <f t="shared" si="2"/>
        <v>0.7142857142857143</v>
      </c>
      <c r="I113">
        <f t="shared" si="3"/>
        <v>60</v>
      </c>
      <c r="K113" t="s">
        <v>204</v>
      </c>
    </row>
    <row r="114" spans="3:11" x14ac:dyDescent="0.25">
      <c r="C114">
        <v>90</v>
      </c>
      <c r="D114">
        <v>70</v>
      </c>
      <c r="E114">
        <v>20</v>
      </c>
      <c r="F114">
        <v>1075</v>
      </c>
      <c r="G114">
        <f t="shared" si="2"/>
        <v>0.7142857142857143</v>
      </c>
      <c r="I114">
        <f t="shared" si="3"/>
        <v>60</v>
      </c>
      <c r="K114" t="s">
        <v>205</v>
      </c>
    </row>
    <row r="115" spans="3:11" x14ac:dyDescent="0.25">
      <c r="C115">
        <v>90</v>
      </c>
      <c r="D115">
        <v>70</v>
      </c>
      <c r="E115">
        <v>20</v>
      </c>
      <c r="F115">
        <v>1477</v>
      </c>
      <c r="G115">
        <f t="shared" si="2"/>
        <v>0.7142857142857143</v>
      </c>
      <c r="I115">
        <f t="shared" si="3"/>
        <v>60</v>
      </c>
      <c r="K115" t="s">
        <v>206</v>
      </c>
    </row>
    <row r="116" spans="3:11" x14ac:dyDescent="0.25">
      <c r="C116">
        <v>90</v>
      </c>
      <c r="D116">
        <v>70</v>
      </c>
      <c r="E116">
        <v>20</v>
      </c>
      <c r="F116">
        <v>1209</v>
      </c>
      <c r="G116">
        <f t="shared" si="2"/>
        <v>0.7142857142857143</v>
      </c>
      <c r="I116">
        <f t="shared" si="3"/>
        <v>60</v>
      </c>
      <c r="K116" t="s">
        <v>207</v>
      </c>
    </row>
    <row r="117" spans="3:11" x14ac:dyDescent="0.25">
      <c r="C117">
        <v>90</v>
      </c>
      <c r="D117">
        <v>70</v>
      </c>
      <c r="E117">
        <v>20</v>
      </c>
      <c r="F117">
        <v>1662</v>
      </c>
      <c r="G117">
        <f t="shared" si="2"/>
        <v>0.7142857142857143</v>
      </c>
      <c r="I117">
        <f t="shared" si="3"/>
        <v>60</v>
      </c>
      <c r="K117" t="s">
        <v>208</v>
      </c>
    </row>
    <row r="118" spans="3:11" x14ac:dyDescent="0.25">
      <c r="C118">
        <v>90</v>
      </c>
      <c r="D118">
        <v>70</v>
      </c>
      <c r="E118">
        <v>20</v>
      </c>
      <c r="F118">
        <v>1343</v>
      </c>
      <c r="G118">
        <f t="shared" si="2"/>
        <v>0.7142857142857143</v>
      </c>
      <c r="I118">
        <f t="shared" si="3"/>
        <v>60</v>
      </c>
      <c r="K118" t="s">
        <v>209</v>
      </c>
    </row>
    <row r="119" spans="3:11" x14ac:dyDescent="0.25">
      <c r="C119">
        <v>90</v>
      </c>
      <c r="D119">
        <v>70</v>
      </c>
      <c r="E119">
        <v>20</v>
      </c>
      <c r="F119">
        <v>1846</v>
      </c>
      <c r="G119">
        <f t="shared" si="2"/>
        <v>0.7142857142857143</v>
      </c>
      <c r="I119">
        <f t="shared" si="3"/>
        <v>60</v>
      </c>
      <c r="K119" t="s">
        <v>210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40B0B-CF24-4082-B64E-040DD01FD997}">
  <sheetPr codeName="Sheet15"/>
  <dimension ref="C2:N122"/>
  <sheetViews>
    <sheetView workbookViewId="0">
      <selection activeCell="C2" sqref="C2:F2"/>
    </sheetView>
  </sheetViews>
  <sheetFormatPr defaultRowHeight="15" x14ac:dyDescent="0.25"/>
  <sheetData>
    <row r="2" spans="3:14" x14ac:dyDescent="0.25">
      <c r="C2" t="s">
        <v>67</v>
      </c>
      <c r="D2" t="s">
        <v>68</v>
      </c>
      <c r="E2" t="s">
        <v>69</v>
      </c>
      <c r="F2" t="s">
        <v>70</v>
      </c>
      <c r="G2" t="s">
        <v>66</v>
      </c>
      <c r="I2" t="s">
        <v>5</v>
      </c>
      <c r="K2" t="s">
        <v>86</v>
      </c>
      <c r="N2" t="s">
        <v>93</v>
      </c>
    </row>
    <row r="3" spans="3:14" x14ac:dyDescent="0.25">
      <c r="C3">
        <v>90</v>
      </c>
      <c r="D3">
        <v>70</v>
      </c>
      <c r="E3">
        <v>20</v>
      </c>
      <c r="F3">
        <v>597</v>
      </c>
      <c r="G3">
        <f t="shared" ref="G3:G66" si="0">(D3-E3)/(C3-E3)</f>
        <v>0.7142857142857143</v>
      </c>
      <c r="I3">
        <f t="shared" ref="I3:I66" si="1">IF(G3&gt;=0.7,(C3+D3)/2-E3,(C3-D3)/(LN((C3-E3)/(D3-E3))))</f>
        <v>60</v>
      </c>
      <c r="K3" t="s">
        <v>211</v>
      </c>
      <c r="N3">
        <f>COUNT(G:G)</f>
        <v>120</v>
      </c>
    </row>
    <row r="4" spans="3:14" x14ac:dyDescent="0.25">
      <c r="C4">
        <v>90</v>
      </c>
      <c r="D4">
        <v>70</v>
      </c>
      <c r="E4">
        <v>20</v>
      </c>
      <c r="F4">
        <v>765</v>
      </c>
      <c r="G4">
        <f t="shared" si="0"/>
        <v>0.7142857142857143</v>
      </c>
      <c r="I4">
        <f t="shared" si="1"/>
        <v>60</v>
      </c>
      <c r="K4" t="s">
        <v>212</v>
      </c>
    </row>
    <row r="5" spans="3:14" x14ac:dyDescent="0.25">
      <c r="C5">
        <v>90</v>
      </c>
      <c r="D5">
        <v>70</v>
      </c>
      <c r="E5">
        <v>20</v>
      </c>
      <c r="F5">
        <v>1324</v>
      </c>
      <c r="G5">
        <f t="shared" si="0"/>
        <v>0.7142857142857143</v>
      </c>
      <c r="I5">
        <f t="shared" si="1"/>
        <v>60</v>
      </c>
      <c r="K5" t="s">
        <v>213</v>
      </c>
    </row>
    <row r="6" spans="3:14" x14ac:dyDescent="0.25">
      <c r="C6">
        <v>90</v>
      </c>
      <c r="D6">
        <v>70</v>
      </c>
      <c r="E6">
        <v>20</v>
      </c>
      <c r="F6">
        <v>716</v>
      </c>
      <c r="G6">
        <f t="shared" si="0"/>
        <v>0.7142857142857143</v>
      </c>
      <c r="I6">
        <f t="shared" si="1"/>
        <v>60</v>
      </c>
      <c r="K6" t="s">
        <v>214</v>
      </c>
    </row>
    <row r="7" spans="3:14" x14ac:dyDescent="0.25">
      <c r="C7">
        <v>90</v>
      </c>
      <c r="D7">
        <v>70</v>
      </c>
      <c r="E7">
        <v>20</v>
      </c>
      <c r="F7">
        <v>918</v>
      </c>
      <c r="G7">
        <f t="shared" si="0"/>
        <v>0.7142857142857143</v>
      </c>
      <c r="I7">
        <f t="shared" si="1"/>
        <v>60</v>
      </c>
      <c r="K7" t="s">
        <v>215</v>
      </c>
    </row>
    <row r="8" spans="3:14" x14ac:dyDescent="0.25">
      <c r="C8">
        <v>90</v>
      </c>
      <c r="D8">
        <v>70</v>
      </c>
      <c r="E8">
        <v>20</v>
      </c>
      <c r="F8">
        <v>1588</v>
      </c>
      <c r="G8">
        <f t="shared" si="0"/>
        <v>0.7142857142857143</v>
      </c>
      <c r="I8">
        <f t="shared" si="1"/>
        <v>60</v>
      </c>
      <c r="K8" t="s">
        <v>216</v>
      </c>
    </row>
    <row r="9" spans="3:14" x14ac:dyDescent="0.25">
      <c r="C9">
        <v>90</v>
      </c>
      <c r="D9">
        <v>70</v>
      </c>
      <c r="E9">
        <v>20</v>
      </c>
      <c r="F9">
        <v>835</v>
      </c>
      <c r="G9">
        <f t="shared" si="0"/>
        <v>0.7142857142857143</v>
      </c>
      <c r="I9">
        <f t="shared" si="1"/>
        <v>60</v>
      </c>
      <c r="K9" t="s">
        <v>217</v>
      </c>
    </row>
    <row r="10" spans="3:14" x14ac:dyDescent="0.25">
      <c r="C10">
        <v>90</v>
      </c>
      <c r="D10">
        <v>70</v>
      </c>
      <c r="E10">
        <v>20</v>
      </c>
      <c r="F10">
        <v>1071</v>
      </c>
      <c r="G10">
        <f t="shared" si="0"/>
        <v>0.7142857142857143</v>
      </c>
      <c r="I10">
        <f t="shared" si="1"/>
        <v>60</v>
      </c>
      <c r="K10" t="s">
        <v>218</v>
      </c>
    </row>
    <row r="11" spans="3:14" x14ac:dyDescent="0.25">
      <c r="C11">
        <v>90</v>
      </c>
      <c r="D11">
        <v>70</v>
      </c>
      <c r="E11">
        <v>20</v>
      </c>
      <c r="F11">
        <v>1853</v>
      </c>
      <c r="G11">
        <f t="shared" si="0"/>
        <v>0.7142857142857143</v>
      </c>
      <c r="I11">
        <f t="shared" si="1"/>
        <v>60</v>
      </c>
      <c r="K11" t="s">
        <v>219</v>
      </c>
    </row>
    <row r="12" spans="3:14" x14ac:dyDescent="0.25">
      <c r="C12">
        <v>90</v>
      </c>
      <c r="D12">
        <v>70</v>
      </c>
      <c r="E12">
        <v>20</v>
      </c>
      <c r="F12">
        <v>955</v>
      </c>
      <c r="G12">
        <f t="shared" si="0"/>
        <v>0.7142857142857143</v>
      </c>
      <c r="I12">
        <f t="shared" si="1"/>
        <v>60</v>
      </c>
      <c r="K12" t="s">
        <v>220</v>
      </c>
    </row>
    <row r="13" spans="3:14" x14ac:dyDescent="0.25">
      <c r="C13">
        <v>90</v>
      </c>
      <c r="D13">
        <v>70</v>
      </c>
      <c r="E13">
        <v>20</v>
      </c>
      <c r="F13">
        <v>1224</v>
      </c>
      <c r="G13">
        <f t="shared" si="0"/>
        <v>0.7142857142857143</v>
      </c>
      <c r="I13">
        <f t="shared" si="1"/>
        <v>60</v>
      </c>
      <c r="K13" t="s">
        <v>221</v>
      </c>
    </row>
    <row r="14" spans="3:14" x14ac:dyDescent="0.25">
      <c r="C14">
        <v>90</v>
      </c>
      <c r="D14">
        <v>70</v>
      </c>
      <c r="E14">
        <v>20</v>
      </c>
      <c r="F14">
        <v>1749</v>
      </c>
      <c r="G14">
        <f t="shared" si="0"/>
        <v>0.7142857142857143</v>
      </c>
      <c r="I14">
        <f t="shared" si="1"/>
        <v>60</v>
      </c>
      <c r="K14" t="s">
        <v>222</v>
      </c>
    </row>
    <row r="15" spans="3:14" x14ac:dyDescent="0.25">
      <c r="C15">
        <v>90</v>
      </c>
      <c r="D15">
        <v>70</v>
      </c>
      <c r="E15">
        <v>20</v>
      </c>
      <c r="F15">
        <v>1074</v>
      </c>
      <c r="G15">
        <f t="shared" si="0"/>
        <v>0.7142857142857143</v>
      </c>
      <c r="I15">
        <f t="shared" si="1"/>
        <v>60</v>
      </c>
      <c r="K15" t="s">
        <v>223</v>
      </c>
    </row>
    <row r="16" spans="3:14" x14ac:dyDescent="0.25">
      <c r="C16">
        <v>90</v>
      </c>
      <c r="D16">
        <v>70</v>
      </c>
      <c r="E16">
        <v>20</v>
      </c>
      <c r="F16">
        <v>1376</v>
      </c>
      <c r="G16">
        <f t="shared" si="0"/>
        <v>0.7142857142857143</v>
      </c>
      <c r="I16">
        <f t="shared" si="1"/>
        <v>60</v>
      </c>
      <c r="K16" t="s">
        <v>224</v>
      </c>
    </row>
    <row r="17" spans="3:11" x14ac:dyDescent="0.25">
      <c r="C17">
        <v>90</v>
      </c>
      <c r="D17">
        <v>70</v>
      </c>
      <c r="E17">
        <v>20</v>
      </c>
      <c r="F17">
        <v>1967</v>
      </c>
      <c r="G17">
        <f t="shared" si="0"/>
        <v>0.7142857142857143</v>
      </c>
      <c r="I17">
        <f t="shared" si="1"/>
        <v>60</v>
      </c>
      <c r="K17" t="s">
        <v>225</v>
      </c>
    </row>
    <row r="18" spans="3:11" x14ac:dyDescent="0.25">
      <c r="C18">
        <v>90</v>
      </c>
      <c r="D18">
        <v>70</v>
      </c>
      <c r="E18">
        <v>20</v>
      </c>
      <c r="F18">
        <v>1193</v>
      </c>
      <c r="G18">
        <f t="shared" si="0"/>
        <v>0.7142857142857143</v>
      </c>
      <c r="I18">
        <f t="shared" si="1"/>
        <v>60</v>
      </c>
      <c r="K18" t="s">
        <v>226</v>
      </c>
    </row>
    <row r="19" spans="3:11" x14ac:dyDescent="0.25">
      <c r="C19">
        <v>90</v>
      </c>
      <c r="D19">
        <v>70</v>
      </c>
      <c r="E19">
        <v>20</v>
      </c>
      <c r="F19">
        <v>1529</v>
      </c>
      <c r="G19">
        <f t="shared" si="0"/>
        <v>0.7142857142857143</v>
      </c>
      <c r="I19">
        <f t="shared" si="1"/>
        <v>60</v>
      </c>
      <c r="K19" t="s">
        <v>227</v>
      </c>
    </row>
    <row r="20" spans="3:11" x14ac:dyDescent="0.25">
      <c r="C20">
        <v>90</v>
      </c>
      <c r="D20">
        <v>70</v>
      </c>
      <c r="E20">
        <v>20</v>
      </c>
      <c r="F20">
        <v>2186</v>
      </c>
      <c r="G20">
        <f t="shared" si="0"/>
        <v>0.7142857142857143</v>
      </c>
      <c r="I20">
        <f t="shared" si="1"/>
        <v>60</v>
      </c>
      <c r="K20" t="s">
        <v>228</v>
      </c>
    </row>
    <row r="21" spans="3:11" x14ac:dyDescent="0.25">
      <c r="C21">
        <v>90</v>
      </c>
      <c r="D21">
        <v>70</v>
      </c>
      <c r="E21">
        <v>20</v>
      </c>
      <c r="F21">
        <v>1313</v>
      </c>
      <c r="G21">
        <f t="shared" si="0"/>
        <v>0.7142857142857143</v>
      </c>
      <c r="I21">
        <f t="shared" si="1"/>
        <v>60</v>
      </c>
      <c r="K21" t="s">
        <v>229</v>
      </c>
    </row>
    <row r="22" spans="3:11" x14ac:dyDescent="0.25">
      <c r="C22">
        <v>90</v>
      </c>
      <c r="D22">
        <v>70</v>
      </c>
      <c r="E22">
        <v>20</v>
      </c>
      <c r="F22">
        <v>1682</v>
      </c>
      <c r="G22">
        <f t="shared" si="0"/>
        <v>0.7142857142857143</v>
      </c>
      <c r="I22">
        <f t="shared" si="1"/>
        <v>60</v>
      </c>
      <c r="K22" t="s">
        <v>230</v>
      </c>
    </row>
    <row r="23" spans="3:11" x14ac:dyDescent="0.25">
      <c r="C23">
        <v>90</v>
      </c>
      <c r="D23">
        <v>70</v>
      </c>
      <c r="E23">
        <v>20</v>
      </c>
      <c r="F23">
        <v>2404</v>
      </c>
      <c r="G23">
        <f t="shared" si="0"/>
        <v>0.7142857142857143</v>
      </c>
      <c r="I23">
        <f t="shared" si="1"/>
        <v>60</v>
      </c>
      <c r="K23" t="s">
        <v>231</v>
      </c>
    </row>
    <row r="24" spans="3:11" x14ac:dyDescent="0.25">
      <c r="C24">
        <v>90</v>
      </c>
      <c r="D24">
        <v>70</v>
      </c>
      <c r="E24">
        <v>20</v>
      </c>
      <c r="F24">
        <v>1432</v>
      </c>
      <c r="G24">
        <f t="shared" si="0"/>
        <v>0.7142857142857143</v>
      </c>
      <c r="I24">
        <f t="shared" si="1"/>
        <v>60</v>
      </c>
      <c r="K24" t="s">
        <v>232</v>
      </c>
    </row>
    <row r="25" spans="3:11" x14ac:dyDescent="0.25">
      <c r="C25">
        <v>90</v>
      </c>
      <c r="D25">
        <v>70</v>
      </c>
      <c r="E25">
        <v>20</v>
      </c>
      <c r="F25">
        <v>1835</v>
      </c>
      <c r="G25">
        <f t="shared" si="0"/>
        <v>0.7142857142857143</v>
      </c>
      <c r="I25">
        <f t="shared" si="1"/>
        <v>60</v>
      </c>
      <c r="K25" t="s">
        <v>233</v>
      </c>
    </row>
    <row r="26" spans="3:11" x14ac:dyDescent="0.25">
      <c r="C26">
        <v>90</v>
      </c>
      <c r="D26">
        <v>70</v>
      </c>
      <c r="E26">
        <v>20</v>
      </c>
      <c r="F26">
        <v>2623</v>
      </c>
      <c r="G26">
        <f t="shared" si="0"/>
        <v>0.7142857142857143</v>
      </c>
      <c r="I26">
        <f t="shared" si="1"/>
        <v>60</v>
      </c>
      <c r="K26" t="s">
        <v>234</v>
      </c>
    </row>
    <row r="27" spans="3:11" x14ac:dyDescent="0.25">
      <c r="C27">
        <v>90</v>
      </c>
      <c r="D27">
        <v>70</v>
      </c>
      <c r="E27">
        <v>20</v>
      </c>
      <c r="F27">
        <v>1671</v>
      </c>
      <c r="G27">
        <f t="shared" si="0"/>
        <v>0.7142857142857143</v>
      </c>
      <c r="I27">
        <f t="shared" si="1"/>
        <v>60</v>
      </c>
      <c r="K27" t="s">
        <v>235</v>
      </c>
    </row>
    <row r="28" spans="3:11" x14ac:dyDescent="0.25">
      <c r="C28">
        <v>90</v>
      </c>
      <c r="D28">
        <v>70</v>
      </c>
      <c r="E28">
        <v>20</v>
      </c>
      <c r="F28">
        <v>2141</v>
      </c>
      <c r="G28">
        <f t="shared" si="0"/>
        <v>0.7142857142857143</v>
      </c>
      <c r="I28">
        <f t="shared" si="1"/>
        <v>60</v>
      </c>
      <c r="K28" t="s">
        <v>236</v>
      </c>
    </row>
    <row r="29" spans="3:11" x14ac:dyDescent="0.25">
      <c r="C29">
        <v>90</v>
      </c>
      <c r="D29">
        <v>70</v>
      </c>
      <c r="E29">
        <v>20</v>
      </c>
      <c r="F29">
        <v>3060</v>
      </c>
      <c r="G29">
        <f t="shared" si="0"/>
        <v>0.7142857142857143</v>
      </c>
      <c r="I29">
        <f t="shared" si="1"/>
        <v>60</v>
      </c>
      <c r="K29" t="s">
        <v>237</v>
      </c>
    </row>
    <row r="30" spans="3:11" x14ac:dyDescent="0.25">
      <c r="C30">
        <v>90</v>
      </c>
      <c r="D30">
        <v>70</v>
      </c>
      <c r="E30">
        <v>20</v>
      </c>
      <c r="F30">
        <v>1909</v>
      </c>
      <c r="G30">
        <f t="shared" si="0"/>
        <v>0.7142857142857143</v>
      </c>
      <c r="I30">
        <f t="shared" si="1"/>
        <v>60</v>
      </c>
      <c r="K30" t="s">
        <v>238</v>
      </c>
    </row>
    <row r="31" spans="3:11" x14ac:dyDescent="0.25">
      <c r="C31">
        <v>90</v>
      </c>
      <c r="D31">
        <v>70</v>
      </c>
      <c r="E31">
        <v>20</v>
      </c>
      <c r="F31">
        <v>2447</v>
      </c>
      <c r="G31">
        <f t="shared" si="0"/>
        <v>0.7142857142857143</v>
      </c>
      <c r="I31">
        <f t="shared" si="1"/>
        <v>60</v>
      </c>
      <c r="K31" t="s">
        <v>239</v>
      </c>
    </row>
    <row r="32" spans="3:11" x14ac:dyDescent="0.25">
      <c r="C32">
        <v>90</v>
      </c>
      <c r="D32">
        <v>70</v>
      </c>
      <c r="E32">
        <v>20</v>
      </c>
      <c r="F32">
        <v>3497</v>
      </c>
      <c r="G32">
        <f t="shared" si="0"/>
        <v>0.7142857142857143</v>
      </c>
      <c r="I32">
        <f t="shared" si="1"/>
        <v>60</v>
      </c>
      <c r="K32" t="s">
        <v>240</v>
      </c>
    </row>
    <row r="33" spans="3:11" x14ac:dyDescent="0.25">
      <c r="C33">
        <v>90</v>
      </c>
      <c r="D33">
        <v>70</v>
      </c>
      <c r="E33">
        <v>20</v>
      </c>
      <c r="F33">
        <v>2148</v>
      </c>
      <c r="G33">
        <f t="shared" si="0"/>
        <v>0.7142857142857143</v>
      </c>
      <c r="I33">
        <f t="shared" si="1"/>
        <v>60</v>
      </c>
      <c r="K33" t="s">
        <v>241</v>
      </c>
    </row>
    <row r="34" spans="3:11" x14ac:dyDescent="0.25">
      <c r="C34">
        <v>90</v>
      </c>
      <c r="D34">
        <v>70</v>
      </c>
      <c r="E34">
        <v>20</v>
      </c>
      <c r="F34">
        <v>2753</v>
      </c>
      <c r="G34">
        <f t="shared" si="0"/>
        <v>0.7142857142857143</v>
      </c>
      <c r="I34">
        <f t="shared" si="1"/>
        <v>60</v>
      </c>
      <c r="K34" t="s">
        <v>242</v>
      </c>
    </row>
    <row r="35" spans="3:11" x14ac:dyDescent="0.25">
      <c r="C35">
        <v>90</v>
      </c>
      <c r="D35">
        <v>70</v>
      </c>
      <c r="E35">
        <v>20</v>
      </c>
      <c r="F35">
        <v>3934</v>
      </c>
      <c r="G35">
        <f t="shared" si="0"/>
        <v>0.7142857142857143</v>
      </c>
      <c r="I35">
        <f t="shared" si="1"/>
        <v>60</v>
      </c>
      <c r="K35" t="s">
        <v>243</v>
      </c>
    </row>
    <row r="36" spans="3:11" x14ac:dyDescent="0.25">
      <c r="C36">
        <v>90</v>
      </c>
      <c r="D36">
        <v>70</v>
      </c>
      <c r="E36">
        <v>20</v>
      </c>
      <c r="F36">
        <v>2386</v>
      </c>
      <c r="G36">
        <f t="shared" si="0"/>
        <v>0.7142857142857143</v>
      </c>
      <c r="I36">
        <f t="shared" si="1"/>
        <v>60</v>
      </c>
      <c r="K36" t="s">
        <v>244</v>
      </c>
    </row>
    <row r="37" spans="3:11" x14ac:dyDescent="0.25">
      <c r="C37">
        <v>90</v>
      </c>
      <c r="D37">
        <v>70</v>
      </c>
      <c r="E37">
        <v>20</v>
      </c>
      <c r="F37">
        <v>3059</v>
      </c>
      <c r="G37">
        <f t="shared" si="0"/>
        <v>0.7142857142857143</v>
      </c>
      <c r="I37">
        <f t="shared" si="1"/>
        <v>60</v>
      </c>
      <c r="K37" t="s">
        <v>245</v>
      </c>
    </row>
    <row r="38" spans="3:11" x14ac:dyDescent="0.25">
      <c r="C38">
        <v>90</v>
      </c>
      <c r="D38">
        <v>70</v>
      </c>
      <c r="E38">
        <v>20</v>
      </c>
      <c r="F38">
        <v>4372</v>
      </c>
      <c r="G38">
        <f t="shared" si="0"/>
        <v>0.7142857142857143</v>
      </c>
      <c r="I38">
        <f t="shared" si="1"/>
        <v>60</v>
      </c>
      <c r="K38" t="s">
        <v>246</v>
      </c>
    </row>
    <row r="39" spans="3:11" x14ac:dyDescent="0.25">
      <c r="C39">
        <v>90</v>
      </c>
      <c r="D39">
        <v>70</v>
      </c>
      <c r="E39">
        <v>20</v>
      </c>
      <c r="F39">
        <v>3518</v>
      </c>
      <c r="G39">
        <f t="shared" si="0"/>
        <v>0.7142857142857143</v>
      </c>
      <c r="I39">
        <f t="shared" si="1"/>
        <v>60</v>
      </c>
      <c r="K39" t="s">
        <v>247</v>
      </c>
    </row>
    <row r="40" spans="3:11" x14ac:dyDescent="0.25">
      <c r="C40">
        <v>90</v>
      </c>
      <c r="D40">
        <v>70</v>
      </c>
      <c r="E40">
        <v>20</v>
      </c>
      <c r="F40">
        <v>5027</v>
      </c>
      <c r="G40">
        <f t="shared" si="0"/>
        <v>0.7142857142857143</v>
      </c>
      <c r="I40">
        <f t="shared" si="1"/>
        <v>60</v>
      </c>
      <c r="K40" t="s">
        <v>248</v>
      </c>
    </row>
    <row r="41" spans="3:11" x14ac:dyDescent="0.25">
      <c r="C41">
        <v>90</v>
      </c>
      <c r="D41">
        <v>70</v>
      </c>
      <c r="E41">
        <v>20</v>
      </c>
      <c r="F41">
        <v>3977</v>
      </c>
      <c r="G41">
        <f t="shared" si="0"/>
        <v>0.7142857142857143</v>
      </c>
      <c r="I41">
        <f t="shared" si="1"/>
        <v>60</v>
      </c>
      <c r="K41" t="s">
        <v>249</v>
      </c>
    </row>
    <row r="42" spans="3:11" x14ac:dyDescent="0.25">
      <c r="C42">
        <v>90</v>
      </c>
      <c r="D42">
        <v>70</v>
      </c>
      <c r="E42">
        <v>20</v>
      </c>
      <c r="F42">
        <v>5683</v>
      </c>
      <c r="G42">
        <f t="shared" si="0"/>
        <v>0.7142857142857143</v>
      </c>
      <c r="I42">
        <f t="shared" si="1"/>
        <v>60</v>
      </c>
      <c r="K42" t="s">
        <v>250</v>
      </c>
    </row>
    <row r="43" spans="3:11" x14ac:dyDescent="0.25">
      <c r="C43">
        <v>90</v>
      </c>
      <c r="D43">
        <v>70</v>
      </c>
      <c r="E43">
        <v>20</v>
      </c>
      <c r="F43">
        <v>4588</v>
      </c>
      <c r="G43">
        <f t="shared" si="0"/>
        <v>0.7142857142857143</v>
      </c>
      <c r="I43">
        <f t="shared" si="1"/>
        <v>60</v>
      </c>
      <c r="K43" t="s">
        <v>251</v>
      </c>
    </row>
    <row r="44" spans="3:11" x14ac:dyDescent="0.25">
      <c r="C44">
        <v>90</v>
      </c>
      <c r="D44">
        <v>70</v>
      </c>
      <c r="E44">
        <v>20</v>
      </c>
      <c r="F44">
        <v>6557</v>
      </c>
      <c r="G44">
        <f t="shared" si="0"/>
        <v>0.7142857142857143</v>
      </c>
      <c r="I44">
        <f t="shared" si="1"/>
        <v>60</v>
      </c>
      <c r="K44" t="s">
        <v>252</v>
      </c>
    </row>
    <row r="45" spans="3:11" x14ac:dyDescent="0.25">
      <c r="C45">
        <v>90</v>
      </c>
      <c r="D45">
        <v>70</v>
      </c>
      <c r="E45">
        <v>20</v>
      </c>
      <c r="F45">
        <v>342</v>
      </c>
      <c r="G45">
        <f t="shared" si="0"/>
        <v>0.7142857142857143</v>
      </c>
      <c r="I45">
        <f t="shared" si="1"/>
        <v>60</v>
      </c>
      <c r="K45" t="s">
        <v>253</v>
      </c>
    </row>
    <row r="46" spans="3:11" x14ac:dyDescent="0.25">
      <c r="C46">
        <v>90</v>
      </c>
      <c r="D46">
        <v>70</v>
      </c>
      <c r="E46">
        <v>20</v>
      </c>
      <c r="F46">
        <v>455</v>
      </c>
      <c r="G46">
        <f t="shared" si="0"/>
        <v>0.7142857142857143</v>
      </c>
      <c r="I46">
        <f t="shared" si="1"/>
        <v>60</v>
      </c>
      <c r="K46" t="s">
        <v>254</v>
      </c>
    </row>
    <row r="47" spans="3:11" x14ac:dyDescent="0.25">
      <c r="C47">
        <v>90</v>
      </c>
      <c r="D47">
        <v>70</v>
      </c>
      <c r="E47">
        <v>20</v>
      </c>
      <c r="F47">
        <v>427</v>
      </c>
      <c r="G47">
        <f t="shared" si="0"/>
        <v>0.7142857142857143</v>
      </c>
      <c r="I47">
        <f t="shared" si="1"/>
        <v>60</v>
      </c>
      <c r="K47" t="s">
        <v>255</v>
      </c>
    </row>
    <row r="48" spans="3:11" x14ac:dyDescent="0.25">
      <c r="C48">
        <v>90</v>
      </c>
      <c r="D48">
        <v>70</v>
      </c>
      <c r="E48">
        <v>20</v>
      </c>
      <c r="F48">
        <v>569</v>
      </c>
      <c r="G48">
        <f t="shared" si="0"/>
        <v>0.7142857142857143</v>
      </c>
      <c r="I48">
        <f t="shared" si="1"/>
        <v>60</v>
      </c>
      <c r="K48" t="s">
        <v>256</v>
      </c>
    </row>
    <row r="49" spans="3:11" x14ac:dyDescent="0.25">
      <c r="C49">
        <v>90</v>
      </c>
      <c r="D49">
        <v>70</v>
      </c>
      <c r="E49">
        <v>20</v>
      </c>
      <c r="F49">
        <v>513</v>
      </c>
      <c r="G49">
        <f t="shared" si="0"/>
        <v>0.7142857142857143</v>
      </c>
      <c r="I49">
        <f t="shared" si="1"/>
        <v>60</v>
      </c>
      <c r="K49" t="s">
        <v>257</v>
      </c>
    </row>
    <row r="50" spans="3:11" x14ac:dyDescent="0.25">
      <c r="C50">
        <v>90</v>
      </c>
      <c r="D50">
        <v>70</v>
      </c>
      <c r="E50">
        <v>20</v>
      </c>
      <c r="F50">
        <v>683</v>
      </c>
      <c r="G50">
        <f t="shared" si="0"/>
        <v>0.7142857142857143</v>
      </c>
      <c r="I50">
        <f t="shared" si="1"/>
        <v>60</v>
      </c>
      <c r="K50" t="s">
        <v>258</v>
      </c>
    </row>
    <row r="51" spans="3:11" x14ac:dyDescent="0.25">
      <c r="C51">
        <v>90</v>
      </c>
      <c r="D51">
        <v>70</v>
      </c>
      <c r="E51">
        <v>20</v>
      </c>
      <c r="F51">
        <v>598</v>
      </c>
      <c r="G51">
        <f t="shared" si="0"/>
        <v>0.7142857142857143</v>
      </c>
      <c r="I51">
        <f t="shared" si="1"/>
        <v>60</v>
      </c>
      <c r="K51" t="s">
        <v>259</v>
      </c>
    </row>
    <row r="52" spans="3:11" x14ac:dyDescent="0.25">
      <c r="C52">
        <v>90</v>
      </c>
      <c r="D52">
        <v>70</v>
      </c>
      <c r="E52">
        <v>20</v>
      </c>
      <c r="F52">
        <v>797</v>
      </c>
      <c r="G52">
        <f t="shared" si="0"/>
        <v>0.7142857142857143</v>
      </c>
      <c r="I52">
        <f t="shared" si="1"/>
        <v>60</v>
      </c>
      <c r="K52" t="s">
        <v>260</v>
      </c>
    </row>
    <row r="53" spans="3:11" x14ac:dyDescent="0.25">
      <c r="C53">
        <v>90</v>
      </c>
      <c r="D53">
        <v>70</v>
      </c>
      <c r="E53">
        <v>20</v>
      </c>
      <c r="F53">
        <v>684</v>
      </c>
      <c r="G53">
        <f t="shared" si="0"/>
        <v>0.7142857142857143</v>
      </c>
      <c r="I53">
        <f t="shared" si="1"/>
        <v>60</v>
      </c>
      <c r="K53" t="s">
        <v>261</v>
      </c>
    </row>
    <row r="54" spans="3:11" x14ac:dyDescent="0.25">
      <c r="C54">
        <v>90</v>
      </c>
      <c r="D54">
        <v>70</v>
      </c>
      <c r="E54">
        <v>20</v>
      </c>
      <c r="F54">
        <v>911</v>
      </c>
      <c r="G54">
        <f t="shared" si="0"/>
        <v>0.7142857142857143</v>
      </c>
      <c r="I54">
        <f t="shared" si="1"/>
        <v>60</v>
      </c>
      <c r="K54" t="s">
        <v>262</v>
      </c>
    </row>
    <row r="55" spans="3:11" x14ac:dyDescent="0.25">
      <c r="C55">
        <v>90</v>
      </c>
      <c r="D55">
        <v>70</v>
      </c>
      <c r="E55">
        <v>20</v>
      </c>
      <c r="F55">
        <v>769</v>
      </c>
      <c r="G55">
        <f t="shared" si="0"/>
        <v>0.7142857142857143</v>
      </c>
      <c r="I55">
        <f t="shared" si="1"/>
        <v>60</v>
      </c>
      <c r="K55" t="s">
        <v>263</v>
      </c>
    </row>
    <row r="56" spans="3:11" x14ac:dyDescent="0.25">
      <c r="C56">
        <v>90</v>
      </c>
      <c r="D56">
        <v>70</v>
      </c>
      <c r="E56">
        <v>20</v>
      </c>
      <c r="F56">
        <v>1025</v>
      </c>
      <c r="G56">
        <f t="shared" si="0"/>
        <v>0.7142857142857143</v>
      </c>
      <c r="I56">
        <f t="shared" si="1"/>
        <v>60</v>
      </c>
      <c r="K56" t="s">
        <v>264</v>
      </c>
    </row>
    <row r="57" spans="3:11" x14ac:dyDescent="0.25">
      <c r="C57">
        <v>90</v>
      </c>
      <c r="D57">
        <v>70</v>
      </c>
      <c r="E57">
        <v>20</v>
      </c>
      <c r="F57">
        <v>854</v>
      </c>
      <c r="G57">
        <f t="shared" si="0"/>
        <v>0.7142857142857143</v>
      </c>
      <c r="I57">
        <f t="shared" si="1"/>
        <v>60</v>
      </c>
      <c r="K57" t="s">
        <v>265</v>
      </c>
    </row>
    <row r="58" spans="3:11" x14ac:dyDescent="0.25">
      <c r="C58">
        <v>90</v>
      </c>
      <c r="D58">
        <v>70</v>
      </c>
      <c r="E58">
        <v>20</v>
      </c>
      <c r="F58">
        <v>1139</v>
      </c>
      <c r="G58">
        <f t="shared" si="0"/>
        <v>0.7142857142857143</v>
      </c>
      <c r="I58">
        <f t="shared" si="1"/>
        <v>60</v>
      </c>
      <c r="K58" t="s">
        <v>266</v>
      </c>
    </row>
    <row r="59" spans="3:11" x14ac:dyDescent="0.25">
      <c r="C59">
        <v>90</v>
      </c>
      <c r="D59">
        <v>70</v>
      </c>
      <c r="E59">
        <v>20</v>
      </c>
      <c r="F59">
        <v>940</v>
      </c>
      <c r="G59">
        <f t="shared" si="0"/>
        <v>0.7142857142857143</v>
      </c>
      <c r="I59">
        <f t="shared" si="1"/>
        <v>60</v>
      </c>
      <c r="K59" t="s">
        <v>267</v>
      </c>
    </row>
    <row r="60" spans="3:11" x14ac:dyDescent="0.25">
      <c r="C60">
        <v>90</v>
      </c>
      <c r="D60">
        <v>70</v>
      </c>
      <c r="E60">
        <v>20</v>
      </c>
      <c r="F60">
        <v>1253</v>
      </c>
      <c r="G60">
        <f t="shared" si="0"/>
        <v>0.7142857142857143</v>
      </c>
      <c r="I60">
        <f t="shared" si="1"/>
        <v>60</v>
      </c>
      <c r="K60" t="s">
        <v>268</v>
      </c>
    </row>
    <row r="61" spans="3:11" x14ac:dyDescent="0.25">
      <c r="C61">
        <v>90</v>
      </c>
      <c r="D61">
        <v>70</v>
      </c>
      <c r="E61">
        <v>20</v>
      </c>
      <c r="F61">
        <v>1025</v>
      </c>
      <c r="G61">
        <f t="shared" si="0"/>
        <v>0.7142857142857143</v>
      </c>
      <c r="I61">
        <f t="shared" si="1"/>
        <v>60</v>
      </c>
      <c r="K61" t="s">
        <v>269</v>
      </c>
    </row>
    <row r="62" spans="3:11" x14ac:dyDescent="0.25">
      <c r="C62">
        <v>90</v>
      </c>
      <c r="D62">
        <v>70</v>
      </c>
      <c r="E62">
        <v>20</v>
      </c>
      <c r="F62">
        <v>1366</v>
      </c>
      <c r="G62">
        <f t="shared" si="0"/>
        <v>0.7142857142857143</v>
      </c>
      <c r="I62">
        <f t="shared" si="1"/>
        <v>60</v>
      </c>
      <c r="K62" t="s">
        <v>270</v>
      </c>
    </row>
    <row r="63" spans="3:11" x14ac:dyDescent="0.25">
      <c r="C63">
        <v>90</v>
      </c>
      <c r="D63">
        <v>70</v>
      </c>
      <c r="E63">
        <v>20</v>
      </c>
      <c r="F63">
        <v>1196</v>
      </c>
      <c r="G63">
        <f t="shared" si="0"/>
        <v>0.7142857142857143</v>
      </c>
      <c r="I63">
        <f t="shared" si="1"/>
        <v>60</v>
      </c>
      <c r="K63" t="s">
        <v>271</v>
      </c>
    </row>
    <row r="64" spans="3:11" x14ac:dyDescent="0.25">
      <c r="C64">
        <v>90</v>
      </c>
      <c r="D64">
        <v>70</v>
      </c>
      <c r="E64">
        <v>20</v>
      </c>
      <c r="F64">
        <v>1594</v>
      </c>
      <c r="G64">
        <f t="shared" si="0"/>
        <v>0.7142857142857143</v>
      </c>
      <c r="I64">
        <f t="shared" si="1"/>
        <v>60</v>
      </c>
      <c r="K64" t="s">
        <v>272</v>
      </c>
    </row>
    <row r="65" spans="3:11" x14ac:dyDescent="0.25">
      <c r="C65">
        <v>90</v>
      </c>
      <c r="D65">
        <v>70</v>
      </c>
      <c r="E65">
        <v>20</v>
      </c>
      <c r="F65">
        <v>1367</v>
      </c>
      <c r="G65">
        <f t="shared" si="0"/>
        <v>0.7142857142857143</v>
      </c>
      <c r="I65">
        <f t="shared" si="1"/>
        <v>60</v>
      </c>
      <c r="K65" t="s">
        <v>273</v>
      </c>
    </row>
    <row r="66" spans="3:11" x14ac:dyDescent="0.25">
      <c r="C66">
        <v>90</v>
      </c>
      <c r="D66">
        <v>70</v>
      </c>
      <c r="E66">
        <v>20</v>
      </c>
      <c r="F66">
        <v>1822</v>
      </c>
      <c r="G66">
        <f t="shared" si="0"/>
        <v>0.7142857142857143</v>
      </c>
      <c r="I66">
        <f t="shared" si="1"/>
        <v>60</v>
      </c>
      <c r="K66" t="s">
        <v>274</v>
      </c>
    </row>
    <row r="67" spans="3:11" x14ac:dyDescent="0.25">
      <c r="C67">
        <v>90</v>
      </c>
      <c r="D67">
        <v>70</v>
      </c>
      <c r="E67">
        <v>20</v>
      </c>
      <c r="F67">
        <v>1538</v>
      </c>
      <c r="G67">
        <f t="shared" ref="G67:G122" si="2">(D67-E67)/(C67-E67)</f>
        <v>0.7142857142857143</v>
      </c>
      <c r="I67">
        <f t="shared" ref="I67:I122" si="3">IF(G67&gt;=0.7,(C67+D67)/2-E67,(C67-D67)/(LN((C67-E67)/(D67-E67))))</f>
        <v>60</v>
      </c>
      <c r="K67" t="s">
        <v>275</v>
      </c>
    </row>
    <row r="68" spans="3:11" x14ac:dyDescent="0.25">
      <c r="C68">
        <v>90</v>
      </c>
      <c r="D68">
        <v>70</v>
      </c>
      <c r="E68">
        <v>20</v>
      </c>
      <c r="F68">
        <v>2050</v>
      </c>
      <c r="G68">
        <f t="shared" si="2"/>
        <v>0.7142857142857143</v>
      </c>
      <c r="I68">
        <f t="shared" si="3"/>
        <v>60</v>
      </c>
      <c r="K68" t="s">
        <v>276</v>
      </c>
    </row>
    <row r="69" spans="3:11" x14ac:dyDescent="0.25">
      <c r="C69">
        <v>90</v>
      </c>
      <c r="D69">
        <v>70</v>
      </c>
      <c r="E69">
        <v>20</v>
      </c>
      <c r="F69">
        <v>1709</v>
      </c>
      <c r="G69">
        <f t="shared" si="2"/>
        <v>0.7142857142857143</v>
      </c>
      <c r="I69">
        <f t="shared" si="3"/>
        <v>60</v>
      </c>
      <c r="K69" t="s">
        <v>277</v>
      </c>
    </row>
    <row r="70" spans="3:11" x14ac:dyDescent="0.25">
      <c r="C70">
        <v>90</v>
      </c>
      <c r="D70">
        <v>70</v>
      </c>
      <c r="E70">
        <v>20</v>
      </c>
      <c r="F70">
        <v>2277</v>
      </c>
      <c r="G70">
        <f t="shared" si="2"/>
        <v>0.7142857142857143</v>
      </c>
      <c r="I70">
        <f t="shared" si="3"/>
        <v>60</v>
      </c>
      <c r="K70" t="s">
        <v>278</v>
      </c>
    </row>
    <row r="71" spans="3:11" x14ac:dyDescent="0.25">
      <c r="C71">
        <v>90</v>
      </c>
      <c r="D71">
        <v>70</v>
      </c>
      <c r="E71">
        <v>20</v>
      </c>
      <c r="F71">
        <v>604</v>
      </c>
      <c r="G71">
        <f t="shared" si="2"/>
        <v>0.7142857142857143</v>
      </c>
      <c r="I71">
        <f t="shared" si="3"/>
        <v>60</v>
      </c>
      <c r="K71" t="s">
        <v>279</v>
      </c>
    </row>
    <row r="72" spans="3:11" x14ac:dyDescent="0.25">
      <c r="C72">
        <v>90</v>
      </c>
      <c r="D72">
        <v>70</v>
      </c>
      <c r="E72">
        <v>20</v>
      </c>
      <c r="F72">
        <v>1029</v>
      </c>
      <c r="G72">
        <f t="shared" si="2"/>
        <v>0.7142857142857143</v>
      </c>
      <c r="I72">
        <f t="shared" si="3"/>
        <v>60</v>
      </c>
      <c r="K72" t="s">
        <v>280</v>
      </c>
    </row>
    <row r="73" spans="3:11" x14ac:dyDescent="0.25">
      <c r="C73">
        <v>90</v>
      </c>
      <c r="D73">
        <v>70</v>
      </c>
      <c r="E73">
        <v>20</v>
      </c>
      <c r="F73">
        <v>755</v>
      </c>
      <c r="G73">
        <f t="shared" si="2"/>
        <v>0.7142857142857143</v>
      </c>
      <c r="I73">
        <f t="shared" si="3"/>
        <v>60</v>
      </c>
      <c r="K73" t="s">
        <v>281</v>
      </c>
    </row>
    <row r="74" spans="3:11" x14ac:dyDescent="0.25">
      <c r="C74">
        <v>90</v>
      </c>
      <c r="D74">
        <v>70</v>
      </c>
      <c r="E74">
        <v>20</v>
      </c>
      <c r="F74">
        <v>1287</v>
      </c>
      <c r="G74">
        <f t="shared" si="2"/>
        <v>0.7142857142857143</v>
      </c>
      <c r="I74">
        <f t="shared" si="3"/>
        <v>60</v>
      </c>
      <c r="K74" t="s">
        <v>282</v>
      </c>
    </row>
    <row r="75" spans="3:11" x14ac:dyDescent="0.25">
      <c r="C75">
        <v>90</v>
      </c>
      <c r="D75">
        <v>70</v>
      </c>
      <c r="E75">
        <v>20</v>
      </c>
      <c r="F75">
        <v>906</v>
      </c>
      <c r="G75">
        <f t="shared" si="2"/>
        <v>0.7142857142857143</v>
      </c>
      <c r="I75">
        <f t="shared" si="3"/>
        <v>60</v>
      </c>
      <c r="K75" t="s">
        <v>283</v>
      </c>
    </row>
    <row r="76" spans="3:11" x14ac:dyDescent="0.25">
      <c r="C76">
        <v>90</v>
      </c>
      <c r="D76">
        <v>70</v>
      </c>
      <c r="E76">
        <v>20</v>
      </c>
      <c r="F76">
        <v>1544</v>
      </c>
      <c r="G76">
        <f t="shared" si="2"/>
        <v>0.7142857142857143</v>
      </c>
      <c r="I76">
        <f t="shared" si="3"/>
        <v>60</v>
      </c>
      <c r="K76" t="s">
        <v>284</v>
      </c>
    </row>
    <row r="77" spans="3:11" x14ac:dyDescent="0.25">
      <c r="C77">
        <v>90</v>
      </c>
      <c r="D77">
        <v>70</v>
      </c>
      <c r="E77">
        <v>20</v>
      </c>
      <c r="F77">
        <v>1056</v>
      </c>
      <c r="G77">
        <f t="shared" si="2"/>
        <v>0.7142857142857143</v>
      </c>
      <c r="I77">
        <f t="shared" si="3"/>
        <v>60</v>
      </c>
      <c r="K77" t="s">
        <v>285</v>
      </c>
    </row>
    <row r="78" spans="3:11" x14ac:dyDescent="0.25">
      <c r="C78">
        <v>90</v>
      </c>
      <c r="D78">
        <v>70</v>
      </c>
      <c r="E78">
        <v>20</v>
      </c>
      <c r="F78">
        <v>1801</v>
      </c>
      <c r="G78">
        <f t="shared" si="2"/>
        <v>0.7142857142857143</v>
      </c>
      <c r="I78">
        <f t="shared" si="3"/>
        <v>60</v>
      </c>
      <c r="K78" t="s">
        <v>286</v>
      </c>
    </row>
    <row r="79" spans="3:11" x14ac:dyDescent="0.25">
      <c r="C79">
        <v>90</v>
      </c>
      <c r="D79">
        <v>70</v>
      </c>
      <c r="E79">
        <v>20</v>
      </c>
      <c r="F79">
        <v>1207</v>
      </c>
      <c r="G79">
        <f t="shared" si="2"/>
        <v>0.7142857142857143</v>
      </c>
      <c r="I79">
        <f t="shared" si="3"/>
        <v>60</v>
      </c>
      <c r="K79" t="s">
        <v>287</v>
      </c>
    </row>
    <row r="80" spans="3:11" x14ac:dyDescent="0.25">
      <c r="C80">
        <v>90</v>
      </c>
      <c r="D80">
        <v>70</v>
      </c>
      <c r="E80">
        <v>20</v>
      </c>
      <c r="F80">
        <v>1720</v>
      </c>
      <c r="G80">
        <f t="shared" si="2"/>
        <v>0.7142857142857143</v>
      </c>
      <c r="I80">
        <f t="shared" si="3"/>
        <v>60</v>
      </c>
      <c r="K80" t="s">
        <v>288</v>
      </c>
    </row>
    <row r="81" spans="3:11" x14ac:dyDescent="0.25">
      <c r="C81">
        <v>90</v>
      </c>
      <c r="D81">
        <v>70</v>
      </c>
      <c r="E81">
        <v>20</v>
      </c>
      <c r="F81">
        <v>1358</v>
      </c>
      <c r="G81">
        <f t="shared" si="2"/>
        <v>0.7142857142857143</v>
      </c>
      <c r="I81">
        <f t="shared" si="3"/>
        <v>60</v>
      </c>
      <c r="K81" t="s">
        <v>289</v>
      </c>
    </row>
    <row r="82" spans="3:11" x14ac:dyDescent="0.25">
      <c r="C82">
        <v>90</v>
      </c>
      <c r="D82">
        <v>70</v>
      </c>
      <c r="E82">
        <v>20</v>
      </c>
      <c r="F82">
        <v>1936</v>
      </c>
      <c r="G82">
        <f t="shared" si="2"/>
        <v>0.7142857142857143</v>
      </c>
      <c r="I82">
        <f t="shared" si="3"/>
        <v>60</v>
      </c>
      <c r="K82" t="s">
        <v>290</v>
      </c>
    </row>
    <row r="83" spans="3:11" x14ac:dyDescent="0.25">
      <c r="C83">
        <v>90</v>
      </c>
      <c r="D83">
        <v>70</v>
      </c>
      <c r="E83">
        <v>20</v>
      </c>
      <c r="F83">
        <v>1509</v>
      </c>
      <c r="G83">
        <f t="shared" si="2"/>
        <v>0.7142857142857143</v>
      </c>
      <c r="I83">
        <f t="shared" si="3"/>
        <v>60</v>
      </c>
      <c r="K83" t="s">
        <v>291</v>
      </c>
    </row>
    <row r="84" spans="3:11" x14ac:dyDescent="0.25">
      <c r="C84">
        <v>90</v>
      </c>
      <c r="D84">
        <v>70</v>
      </c>
      <c r="E84">
        <v>20</v>
      </c>
      <c r="F84">
        <v>2151</v>
      </c>
      <c r="G84">
        <f t="shared" si="2"/>
        <v>0.7142857142857143</v>
      </c>
      <c r="I84">
        <f t="shared" si="3"/>
        <v>60</v>
      </c>
      <c r="K84" t="s">
        <v>292</v>
      </c>
    </row>
    <row r="85" spans="3:11" x14ac:dyDescent="0.25">
      <c r="C85">
        <v>90</v>
      </c>
      <c r="D85">
        <v>70</v>
      </c>
      <c r="E85">
        <v>20</v>
      </c>
      <c r="F85">
        <v>1660</v>
      </c>
      <c r="G85">
        <f t="shared" si="2"/>
        <v>0.7142857142857143</v>
      </c>
      <c r="I85">
        <f t="shared" si="3"/>
        <v>60</v>
      </c>
      <c r="K85" t="s">
        <v>293</v>
      </c>
    </row>
    <row r="86" spans="3:11" x14ac:dyDescent="0.25">
      <c r="C86">
        <v>90</v>
      </c>
      <c r="D86">
        <v>70</v>
      </c>
      <c r="E86">
        <v>20</v>
      </c>
      <c r="F86">
        <v>2366</v>
      </c>
      <c r="G86">
        <f t="shared" si="2"/>
        <v>0.7142857142857143</v>
      </c>
      <c r="I86">
        <f t="shared" si="3"/>
        <v>60</v>
      </c>
      <c r="K86" t="s">
        <v>294</v>
      </c>
    </row>
    <row r="87" spans="3:11" x14ac:dyDescent="0.25">
      <c r="C87">
        <v>90</v>
      </c>
      <c r="D87">
        <v>70</v>
      </c>
      <c r="E87">
        <v>20</v>
      </c>
      <c r="F87">
        <v>1811</v>
      </c>
      <c r="G87">
        <f t="shared" si="2"/>
        <v>0.7142857142857143</v>
      </c>
      <c r="I87">
        <f t="shared" si="3"/>
        <v>60</v>
      </c>
      <c r="K87" t="s">
        <v>295</v>
      </c>
    </row>
    <row r="88" spans="3:11" x14ac:dyDescent="0.25">
      <c r="C88">
        <v>90</v>
      </c>
      <c r="D88">
        <v>70</v>
      </c>
      <c r="E88">
        <v>20</v>
      </c>
      <c r="F88">
        <v>2581</v>
      </c>
      <c r="G88">
        <f t="shared" si="2"/>
        <v>0.7142857142857143</v>
      </c>
      <c r="I88">
        <f t="shared" si="3"/>
        <v>60</v>
      </c>
      <c r="K88" t="s">
        <v>296</v>
      </c>
    </row>
    <row r="89" spans="3:11" x14ac:dyDescent="0.25">
      <c r="C89">
        <v>90</v>
      </c>
      <c r="D89">
        <v>70</v>
      </c>
      <c r="E89">
        <v>20</v>
      </c>
      <c r="F89">
        <v>2113</v>
      </c>
      <c r="G89">
        <f t="shared" si="2"/>
        <v>0.7142857142857143</v>
      </c>
      <c r="I89">
        <f t="shared" si="3"/>
        <v>60</v>
      </c>
      <c r="K89" t="s">
        <v>297</v>
      </c>
    </row>
    <row r="90" spans="3:11" x14ac:dyDescent="0.25">
      <c r="C90">
        <v>90</v>
      </c>
      <c r="D90">
        <v>70</v>
      </c>
      <c r="E90">
        <v>20</v>
      </c>
      <c r="F90">
        <v>3011</v>
      </c>
      <c r="G90">
        <f t="shared" si="2"/>
        <v>0.7142857142857143</v>
      </c>
      <c r="I90">
        <f t="shared" si="3"/>
        <v>60</v>
      </c>
      <c r="K90" t="s">
        <v>298</v>
      </c>
    </row>
    <row r="91" spans="3:11" x14ac:dyDescent="0.25">
      <c r="C91">
        <v>90</v>
      </c>
      <c r="D91">
        <v>70</v>
      </c>
      <c r="E91">
        <v>20</v>
      </c>
      <c r="F91">
        <v>2415</v>
      </c>
      <c r="G91">
        <f t="shared" si="2"/>
        <v>0.7142857142857143</v>
      </c>
      <c r="I91">
        <f t="shared" si="3"/>
        <v>60</v>
      </c>
      <c r="K91" t="s">
        <v>299</v>
      </c>
    </row>
    <row r="92" spans="3:11" x14ac:dyDescent="0.25">
      <c r="C92">
        <v>90</v>
      </c>
      <c r="D92">
        <v>70</v>
      </c>
      <c r="E92">
        <v>20</v>
      </c>
      <c r="F92">
        <v>3441</v>
      </c>
      <c r="G92">
        <f t="shared" si="2"/>
        <v>0.7142857142857143</v>
      </c>
      <c r="I92">
        <f t="shared" si="3"/>
        <v>60</v>
      </c>
      <c r="K92" t="s">
        <v>300</v>
      </c>
    </row>
    <row r="93" spans="3:11" x14ac:dyDescent="0.25">
      <c r="C93">
        <v>90</v>
      </c>
      <c r="D93">
        <v>70</v>
      </c>
      <c r="E93">
        <v>20</v>
      </c>
      <c r="F93">
        <v>2717</v>
      </c>
      <c r="G93">
        <f t="shared" si="2"/>
        <v>0.7142857142857143</v>
      </c>
      <c r="I93">
        <f t="shared" si="3"/>
        <v>60</v>
      </c>
      <c r="K93" t="s">
        <v>301</v>
      </c>
    </row>
    <row r="94" spans="3:11" x14ac:dyDescent="0.25">
      <c r="C94">
        <v>90</v>
      </c>
      <c r="D94">
        <v>70</v>
      </c>
      <c r="E94">
        <v>20</v>
      </c>
      <c r="F94">
        <v>3871</v>
      </c>
      <c r="G94">
        <f t="shared" si="2"/>
        <v>0.7142857142857143</v>
      </c>
      <c r="I94">
        <f t="shared" si="3"/>
        <v>60</v>
      </c>
      <c r="K94" t="s">
        <v>302</v>
      </c>
    </row>
    <row r="95" spans="3:11" x14ac:dyDescent="0.25">
      <c r="C95">
        <v>90</v>
      </c>
      <c r="D95">
        <v>70</v>
      </c>
      <c r="E95">
        <v>20</v>
      </c>
      <c r="F95">
        <v>3019</v>
      </c>
      <c r="G95">
        <f t="shared" si="2"/>
        <v>0.7142857142857143</v>
      </c>
      <c r="I95">
        <f t="shared" si="3"/>
        <v>60</v>
      </c>
      <c r="K95" t="s">
        <v>303</v>
      </c>
    </row>
    <row r="96" spans="3:11" x14ac:dyDescent="0.25">
      <c r="C96">
        <v>90</v>
      </c>
      <c r="D96">
        <v>70</v>
      </c>
      <c r="E96">
        <v>20</v>
      </c>
      <c r="F96">
        <v>4301</v>
      </c>
      <c r="G96">
        <f t="shared" si="2"/>
        <v>0.7142857142857143</v>
      </c>
      <c r="I96">
        <f t="shared" si="3"/>
        <v>60</v>
      </c>
      <c r="K96" t="s">
        <v>304</v>
      </c>
    </row>
    <row r="97" spans="3:11" x14ac:dyDescent="0.25">
      <c r="C97">
        <v>90</v>
      </c>
      <c r="D97">
        <v>70</v>
      </c>
      <c r="E97">
        <v>20</v>
      </c>
      <c r="F97">
        <v>342</v>
      </c>
      <c r="G97">
        <f t="shared" si="2"/>
        <v>0.7142857142857143</v>
      </c>
      <c r="I97">
        <f t="shared" si="3"/>
        <v>60</v>
      </c>
      <c r="K97" t="s">
        <v>305</v>
      </c>
    </row>
    <row r="98" spans="3:11" x14ac:dyDescent="0.25">
      <c r="C98">
        <v>90</v>
      </c>
      <c r="D98">
        <v>70</v>
      </c>
      <c r="E98">
        <v>20</v>
      </c>
      <c r="F98">
        <v>455</v>
      </c>
      <c r="G98">
        <f t="shared" si="2"/>
        <v>0.7142857142857143</v>
      </c>
      <c r="I98">
        <f t="shared" si="3"/>
        <v>60</v>
      </c>
      <c r="K98" t="s">
        <v>306</v>
      </c>
    </row>
    <row r="99" spans="3:11" x14ac:dyDescent="0.25">
      <c r="C99">
        <v>90</v>
      </c>
      <c r="D99">
        <v>70</v>
      </c>
      <c r="E99">
        <v>20</v>
      </c>
      <c r="F99">
        <v>427</v>
      </c>
      <c r="G99">
        <f t="shared" si="2"/>
        <v>0.7142857142857143</v>
      </c>
      <c r="I99">
        <f t="shared" si="3"/>
        <v>60</v>
      </c>
      <c r="K99" t="s">
        <v>307</v>
      </c>
    </row>
    <row r="100" spans="3:11" x14ac:dyDescent="0.25">
      <c r="C100">
        <v>90</v>
      </c>
      <c r="D100">
        <v>70</v>
      </c>
      <c r="E100">
        <v>20</v>
      </c>
      <c r="F100">
        <v>569</v>
      </c>
      <c r="G100">
        <f t="shared" si="2"/>
        <v>0.7142857142857143</v>
      </c>
      <c r="I100">
        <f t="shared" si="3"/>
        <v>60</v>
      </c>
      <c r="K100" t="s">
        <v>308</v>
      </c>
    </row>
    <row r="101" spans="3:11" x14ac:dyDescent="0.25">
      <c r="C101">
        <v>90</v>
      </c>
      <c r="D101">
        <v>70</v>
      </c>
      <c r="E101">
        <v>20</v>
      </c>
      <c r="F101">
        <v>513</v>
      </c>
      <c r="G101">
        <f t="shared" si="2"/>
        <v>0.7142857142857143</v>
      </c>
      <c r="I101">
        <f t="shared" si="3"/>
        <v>60</v>
      </c>
      <c r="K101" t="s">
        <v>309</v>
      </c>
    </row>
    <row r="102" spans="3:11" x14ac:dyDescent="0.25">
      <c r="C102">
        <v>90</v>
      </c>
      <c r="D102">
        <v>70</v>
      </c>
      <c r="E102">
        <v>20</v>
      </c>
      <c r="F102">
        <v>683</v>
      </c>
      <c r="G102">
        <f t="shared" si="2"/>
        <v>0.7142857142857143</v>
      </c>
      <c r="I102">
        <f t="shared" si="3"/>
        <v>60</v>
      </c>
      <c r="K102" t="s">
        <v>310</v>
      </c>
    </row>
    <row r="103" spans="3:11" x14ac:dyDescent="0.25">
      <c r="C103">
        <v>90</v>
      </c>
      <c r="D103">
        <v>70</v>
      </c>
      <c r="E103">
        <v>20</v>
      </c>
      <c r="F103">
        <v>598</v>
      </c>
      <c r="G103">
        <f t="shared" si="2"/>
        <v>0.7142857142857143</v>
      </c>
      <c r="I103">
        <f t="shared" si="3"/>
        <v>60</v>
      </c>
      <c r="K103" t="s">
        <v>311</v>
      </c>
    </row>
    <row r="104" spans="3:11" x14ac:dyDescent="0.25">
      <c r="C104">
        <v>90</v>
      </c>
      <c r="D104">
        <v>70</v>
      </c>
      <c r="E104">
        <v>20</v>
      </c>
      <c r="F104">
        <v>797</v>
      </c>
      <c r="G104">
        <f t="shared" si="2"/>
        <v>0.7142857142857143</v>
      </c>
      <c r="I104">
        <f t="shared" si="3"/>
        <v>60</v>
      </c>
      <c r="K104" t="s">
        <v>312</v>
      </c>
    </row>
    <row r="105" spans="3:11" x14ac:dyDescent="0.25">
      <c r="C105">
        <v>90</v>
      </c>
      <c r="D105">
        <v>70</v>
      </c>
      <c r="E105">
        <v>20</v>
      </c>
      <c r="F105">
        <v>684</v>
      </c>
      <c r="G105">
        <f t="shared" si="2"/>
        <v>0.7142857142857143</v>
      </c>
      <c r="I105">
        <f t="shared" si="3"/>
        <v>60</v>
      </c>
      <c r="K105" t="s">
        <v>313</v>
      </c>
    </row>
    <row r="106" spans="3:11" x14ac:dyDescent="0.25">
      <c r="C106">
        <v>90</v>
      </c>
      <c r="D106">
        <v>70</v>
      </c>
      <c r="E106">
        <v>20</v>
      </c>
      <c r="F106">
        <v>911</v>
      </c>
      <c r="G106">
        <f t="shared" si="2"/>
        <v>0.7142857142857143</v>
      </c>
      <c r="I106">
        <f t="shared" si="3"/>
        <v>60</v>
      </c>
      <c r="K106" t="s">
        <v>314</v>
      </c>
    </row>
    <row r="107" spans="3:11" x14ac:dyDescent="0.25">
      <c r="C107">
        <v>90</v>
      </c>
      <c r="D107">
        <v>70</v>
      </c>
      <c r="E107">
        <v>20</v>
      </c>
      <c r="F107">
        <v>769</v>
      </c>
      <c r="G107">
        <f t="shared" si="2"/>
        <v>0.7142857142857143</v>
      </c>
      <c r="I107">
        <f t="shared" si="3"/>
        <v>60</v>
      </c>
      <c r="K107" t="s">
        <v>315</v>
      </c>
    </row>
    <row r="108" spans="3:11" x14ac:dyDescent="0.25">
      <c r="C108">
        <v>90</v>
      </c>
      <c r="D108">
        <v>70</v>
      </c>
      <c r="E108">
        <v>20</v>
      </c>
      <c r="F108">
        <v>1025</v>
      </c>
      <c r="G108">
        <f t="shared" si="2"/>
        <v>0.7142857142857143</v>
      </c>
      <c r="I108">
        <f t="shared" si="3"/>
        <v>60</v>
      </c>
      <c r="K108" t="s">
        <v>316</v>
      </c>
    </row>
    <row r="109" spans="3:11" x14ac:dyDescent="0.25">
      <c r="C109">
        <v>90</v>
      </c>
      <c r="D109">
        <v>70</v>
      </c>
      <c r="E109">
        <v>20</v>
      </c>
      <c r="F109">
        <v>854</v>
      </c>
      <c r="G109">
        <f t="shared" si="2"/>
        <v>0.7142857142857143</v>
      </c>
      <c r="I109">
        <f t="shared" si="3"/>
        <v>60</v>
      </c>
      <c r="K109" t="s">
        <v>317</v>
      </c>
    </row>
    <row r="110" spans="3:11" x14ac:dyDescent="0.25">
      <c r="C110">
        <v>90</v>
      </c>
      <c r="D110">
        <v>70</v>
      </c>
      <c r="E110">
        <v>20</v>
      </c>
      <c r="F110">
        <v>1139</v>
      </c>
      <c r="G110">
        <f t="shared" si="2"/>
        <v>0.7142857142857143</v>
      </c>
      <c r="I110">
        <f t="shared" si="3"/>
        <v>60</v>
      </c>
      <c r="K110" t="s">
        <v>318</v>
      </c>
    </row>
    <row r="111" spans="3:11" x14ac:dyDescent="0.25">
      <c r="C111">
        <v>90</v>
      </c>
      <c r="D111">
        <v>70</v>
      </c>
      <c r="E111">
        <v>20</v>
      </c>
      <c r="F111">
        <v>940</v>
      </c>
      <c r="G111">
        <f t="shared" si="2"/>
        <v>0.7142857142857143</v>
      </c>
      <c r="I111">
        <f t="shared" si="3"/>
        <v>60</v>
      </c>
      <c r="K111" t="s">
        <v>319</v>
      </c>
    </row>
    <row r="112" spans="3:11" x14ac:dyDescent="0.25">
      <c r="C112">
        <v>90</v>
      </c>
      <c r="D112">
        <v>70</v>
      </c>
      <c r="E112">
        <v>20</v>
      </c>
      <c r="F112">
        <v>1253</v>
      </c>
      <c r="G112">
        <f t="shared" si="2"/>
        <v>0.7142857142857143</v>
      </c>
      <c r="I112">
        <f t="shared" si="3"/>
        <v>60</v>
      </c>
      <c r="K112" t="s">
        <v>320</v>
      </c>
    </row>
    <row r="113" spans="3:11" x14ac:dyDescent="0.25">
      <c r="C113">
        <v>90</v>
      </c>
      <c r="D113">
        <v>70</v>
      </c>
      <c r="E113">
        <v>20</v>
      </c>
      <c r="F113">
        <v>1025</v>
      </c>
      <c r="G113">
        <f t="shared" si="2"/>
        <v>0.7142857142857143</v>
      </c>
      <c r="I113">
        <f t="shared" si="3"/>
        <v>60</v>
      </c>
      <c r="K113" t="s">
        <v>321</v>
      </c>
    </row>
    <row r="114" spans="3:11" x14ac:dyDescent="0.25">
      <c r="C114">
        <v>90</v>
      </c>
      <c r="D114">
        <v>70</v>
      </c>
      <c r="E114">
        <v>20</v>
      </c>
      <c r="F114">
        <v>1366</v>
      </c>
      <c r="G114">
        <f t="shared" si="2"/>
        <v>0.7142857142857143</v>
      </c>
      <c r="I114">
        <f t="shared" si="3"/>
        <v>60</v>
      </c>
      <c r="K114" t="s">
        <v>322</v>
      </c>
    </row>
    <row r="115" spans="3:11" x14ac:dyDescent="0.25">
      <c r="C115">
        <v>90</v>
      </c>
      <c r="D115">
        <v>70</v>
      </c>
      <c r="E115">
        <v>20</v>
      </c>
      <c r="F115">
        <v>1196</v>
      </c>
      <c r="G115">
        <f t="shared" si="2"/>
        <v>0.7142857142857143</v>
      </c>
      <c r="I115">
        <f t="shared" si="3"/>
        <v>60</v>
      </c>
      <c r="K115" t="s">
        <v>323</v>
      </c>
    </row>
    <row r="116" spans="3:11" x14ac:dyDescent="0.25">
      <c r="C116">
        <v>90</v>
      </c>
      <c r="D116">
        <v>70</v>
      </c>
      <c r="E116">
        <v>20</v>
      </c>
      <c r="F116">
        <v>1594</v>
      </c>
      <c r="G116">
        <f t="shared" si="2"/>
        <v>0.7142857142857143</v>
      </c>
      <c r="I116">
        <f t="shared" si="3"/>
        <v>60</v>
      </c>
      <c r="K116" t="s">
        <v>324</v>
      </c>
    </row>
    <row r="117" spans="3:11" x14ac:dyDescent="0.25">
      <c r="C117">
        <v>90</v>
      </c>
      <c r="D117">
        <v>70</v>
      </c>
      <c r="E117">
        <v>20</v>
      </c>
      <c r="F117">
        <v>1367</v>
      </c>
      <c r="G117">
        <f t="shared" si="2"/>
        <v>0.7142857142857143</v>
      </c>
      <c r="I117">
        <f t="shared" si="3"/>
        <v>60</v>
      </c>
      <c r="K117" t="s">
        <v>325</v>
      </c>
    </row>
    <row r="118" spans="3:11" x14ac:dyDescent="0.25">
      <c r="C118">
        <v>90</v>
      </c>
      <c r="D118">
        <v>70</v>
      </c>
      <c r="E118">
        <v>20</v>
      </c>
      <c r="F118">
        <v>1822</v>
      </c>
      <c r="G118">
        <f t="shared" si="2"/>
        <v>0.7142857142857143</v>
      </c>
      <c r="I118">
        <f t="shared" si="3"/>
        <v>60</v>
      </c>
      <c r="K118" t="s">
        <v>326</v>
      </c>
    </row>
    <row r="119" spans="3:11" x14ac:dyDescent="0.25">
      <c r="C119">
        <v>90</v>
      </c>
      <c r="D119">
        <v>70</v>
      </c>
      <c r="E119">
        <v>20</v>
      </c>
      <c r="F119">
        <v>1538</v>
      </c>
      <c r="G119">
        <f t="shared" si="2"/>
        <v>0.7142857142857143</v>
      </c>
      <c r="I119">
        <f t="shared" si="3"/>
        <v>60</v>
      </c>
      <c r="K119" t="s">
        <v>327</v>
      </c>
    </row>
    <row r="120" spans="3:11" x14ac:dyDescent="0.25">
      <c r="C120">
        <v>90</v>
      </c>
      <c r="D120">
        <v>70</v>
      </c>
      <c r="E120">
        <v>20</v>
      </c>
      <c r="F120">
        <v>2050</v>
      </c>
      <c r="G120">
        <f t="shared" si="2"/>
        <v>0.7142857142857143</v>
      </c>
      <c r="I120">
        <f t="shared" si="3"/>
        <v>60</v>
      </c>
      <c r="K120" t="s">
        <v>328</v>
      </c>
    </row>
    <row r="121" spans="3:11" x14ac:dyDescent="0.25">
      <c r="C121">
        <v>90</v>
      </c>
      <c r="D121">
        <v>70</v>
      </c>
      <c r="E121">
        <v>20</v>
      </c>
      <c r="F121">
        <v>1709</v>
      </c>
      <c r="G121">
        <f t="shared" si="2"/>
        <v>0.7142857142857143</v>
      </c>
      <c r="I121">
        <f t="shared" si="3"/>
        <v>60</v>
      </c>
      <c r="K121" t="s">
        <v>329</v>
      </c>
    </row>
    <row r="122" spans="3:11" x14ac:dyDescent="0.25">
      <c r="C122">
        <v>90</v>
      </c>
      <c r="D122">
        <v>70</v>
      </c>
      <c r="E122">
        <v>20</v>
      </c>
      <c r="F122">
        <v>2277</v>
      </c>
      <c r="G122">
        <f t="shared" si="2"/>
        <v>0.7142857142857143</v>
      </c>
      <c r="I122">
        <f t="shared" si="3"/>
        <v>60</v>
      </c>
      <c r="K122" t="s">
        <v>330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76B43-3BFB-4CAC-997C-D6887DC72EFF}">
  <sheetPr codeName="Sheet16"/>
  <dimension ref="C2:N120"/>
  <sheetViews>
    <sheetView workbookViewId="0">
      <selection activeCell="C2" sqref="C2:F2"/>
    </sheetView>
  </sheetViews>
  <sheetFormatPr defaultRowHeight="15" x14ac:dyDescent="0.25"/>
  <sheetData>
    <row r="2" spans="3:14" x14ac:dyDescent="0.25">
      <c r="C2" t="s">
        <v>67</v>
      </c>
      <c r="D2" t="s">
        <v>68</v>
      </c>
      <c r="E2" t="s">
        <v>69</v>
      </c>
      <c r="F2" t="s">
        <v>70</v>
      </c>
      <c r="G2" t="s">
        <v>66</v>
      </c>
      <c r="I2" t="s">
        <v>5</v>
      </c>
      <c r="K2" t="s">
        <v>86</v>
      </c>
      <c r="N2" t="s">
        <v>93</v>
      </c>
    </row>
    <row r="3" spans="3:14" x14ac:dyDescent="0.25">
      <c r="C3">
        <v>90</v>
      </c>
      <c r="D3">
        <v>70</v>
      </c>
      <c r="E3">
        <v>20</v>
      </c>
      <c r="F3">
        <v>713</v>
      </c>
      <c r="G3">
        <f t="shared" ref="G3:G66" si="0">(D3-E3)/(C3-E3)</f>
        <v>0.7142857142857143</v>
      </c>
      <c r="I3">
        <f t="shared" ref="I3:I66" si="1">IF(G3&gt;=0.7,(C3+D3)/2-E3,(C3-D3)/(LN((C3-E3)/(D3-E3))))</f>
        <v>60</v>
      </c>
      <c r="K3" t="s">
        <v>331</v>
      </c>
      <c r="N3">
        <f>COUNT(G:G)</f>
        <v>118</v>
      </c>
    </row>
    <row r="4" spans="3:14" x14ac:dyDescent="0.25">
      <c r="C4">
        <v>90</v>
      </c>
      <c r="D4">
        <v>70</v>
      </c>
      <c r="E4">
        <v>20</v>
      </c>
      <c r="F4">
        <v>921</v>
      </c>
      <c r="G4">
        <f t="shared" si="0"/>
        <v>0.7142857142857143</v>
      </c>
      <c r="I4">
        <f t="shared" si="1"/>
        <v>60</v>
      </c>
      <c r="K4" t="s">
        <v>332</v>
      </c>
    </row>
    <row r="5" spans="3:14" x14ac:dyDescent="0.25">
      <c r="C5">
        <v>90</v>
      </c>
      <c r="D5">
        <v>70</v>
      </c>
      <c r="E5">
        <v>20</v>
      </c>
      <c r="F5">
        <v>1540</v>
      </c>
      <c r="G5">
        <f t="shared" si="0"/>
        <v>0.7142857142857143</v>
      </c>
      <c r="I5">
        <f t="shared" si="1"/>
        <v>60</v>
      </c>
      <c r="K5" t="s">
        <v>333</v>
      </c>
    </row>
    <row r="6" spans="3:14" x14ac:dyDescent="0.25">
      <c r="C6">
        <v>90</v>
      </c>
      <c r="D6">
        <v>70</v>
      </c>
      <c r="E6">
        <v>20</v>
      </c>
      <c r="F6">
        <v>856</v>
      </c>
      <c r="G6">
        <f t="shared" si="0"/>
        <v>0.7142857142857143</v>
      </c>
      <c r="I6">
        <f t="shared" si="1"/>
        <v>60</v>
      </c>
      <c r="K6" t="s">
        <v>334</v>
      </c>
    </row>
    <row r="7" spans="3:14" x14ac:dyDescent="0.25">
      <c r="C7">
        <v>90</v>
      </c>
      <c r="D7">
        <v>70</v>
      </c>
      <c r="E7">
        <v>20</v>
      </c>
      <c r="F7">
        <v>1106</v>
      </c>
      <c r="G7">
        <f t="shared" si="0"/>
        <v>0.7142857142857143</v>
      </c>
      <c r="I7">
        <f t="shared" si="1"/>
        <v>60</v>
      </c>
      <c r="K7" t="s">
        <v>335</v>
      </c>
    </row>
    <row r="8" spans="3:14" x14ac:dyDescent="0.25">
      <c r="C8">
        <v>90</v>
      </c>
      <c r="D8">
        <v>70</v>
      </c>
      <c r="E8">
        <v>20</v>
      </c>
      <c r="F8">
        <v>1848</v>
      </c>
      <c r="G8">
        <f t="shared" si="0"/>
        <v>0.7142857142857143</v>
      </c>
      <c r="I8">
        <f t="shared" si="1"/>
        <v>60</v>
      </c>
      <c r="K8" t="s">
        <v>336</v>
      </c>
    </row>
    <row r="9" spans="3:14" x14ac:dyDescent="0.25">
      <c r="C9">
        <v>90</v>
      </c>
      <c r="D9">
        <v>70</v>
      </c>
      <c r="E9">
        <v>20</v>
      </c>
      <c r="F9">
        <v>999</v>
      </c>
      <c r="G9">
        <f t="shared" si="0"/>
        <v>0.7142857142857143</v>
      </c>
      <c r="I9">
        <f t="shared" si="1"/>
        <v>60</v>
      </c>
      <c r="K9" t="s">
        <v>337</v>
      </c>
    </row>
    <row r="10" spans="3:14" x14ac:dyDescent="0.25">
      <c r="C10">
        <v>90</v>
      </c>
      <c r="D10">
        <v>70</v>
      </c>
      <c r="E10">
        <v>20</v>
      </c>
      <c r="F10">
        <v>1290</v>
      </c>
      <c r="G10">
        <f t="shared" si="0"/>
        <v>0.7142857142857143</v>
      </c>
      <c r="I10">
        <f t="shared" si="1"/>
        <v>60</v>
      </c>
      <c r="K10" t="s">
        <v>338</v>
      </c>
    </row>
    <row r="11" spans="3:14" x14ac:dyDescent="0.25">
      <c r="C11">
        <v>90</v>
      </c>
      <c r="D11">
        <v>70</v>
      </c>
      <c r="E11">
        <v>20</v>
      </c>
      <c r="F11">
        <v>2156</v>
      </c>
      <c r="G11">
        <f t="shared" si="0"/>
        <v>0.7142857142857143</v>
      </c>
      <c r="I11">
        <f t="shared" si="1"/>
        <v>60</v>
      </c>
      <c r="K11" t="s">
        <v>339</v>
      </c>
    </row>
    <row r="12" spans="3:14" x14ac:dyDescent="0.25">
      <c r="C12">
        <v>90</v>
      </c>
      <c r="D12">
        <v>70</v>
      </c>
      <c r="E12">
        <v>20</v>
      </c>
      <c r="F12">
        <v>1142</v>
      </c>
      <c r="G12">
        <f t="shared" si="0"/>
        <v>0.7142857142857143</v>
      </c>
      <c r="I12">
        <f t="shared" si="1"/>
        <v>60</v>
      </c>
      <c r="K12" t="s">
        <v>340</v>
      </c>
    </row>
    <row r="13" spans="3:14" x14ac:dyDescent="0.25">
      <c r="C13">
        <v>90</v>
      </c>
      <c r="D13">
        <v>70</v>
      </c>
      <c r="E13">
        <v>20</v>
      </c>
      <c r="F13">
        <v>1474</v>
      </c>
      <c r="G13">
        <f t="shared" si="0"/>
        <v>0.7142857142857143</v>
      </c>
      <c r="I13">
        <f t="shared" si="1"/>
        <v>60</v>
      </c>
      <c r="K13" t="s">
        <v>341</v>
      </c>
    </row>
    <row r="14" spans="3:14" x14ac:dyDescent="0.25">
      <c r="C14">
        <v>90</v>
      </c>
      <c r="D14">
        <v>70</v>
      </c>
      <c r="E14">
        <v>20</v>
      </c>
      <c r="F14">
        <v>2118</v>
      </c>
      <c r="G14">
        <f t="shared" si="0"/>
        <v>0.7142857142857143</v>
      </c>
      <c r="I14">
        <f t="shared" si="1"/>
        <v>60</v>
      </c>
      <c r="K14" t="s">
        <v>342</v>
      </c>
    </row>
    <row r="15" spans="3:14" x14ac:dyDescent="0.25">
      <c r="C15">
        <v>90</v>
      </c>
      <c r="D15">
        <v>70</v>
      </c>
      <c r="E15">
        <v>20</v>
      </c>
      <c r="F15">
        <v>1284</v>
      </c>
      <c r="G15">
        <f t="shared" si="0"/>
        <v>0.7142857142857143</v>
      </c>
      <c r="I15">
        <f t="shared" si="1"/>
        <v>60</v>
      </c>
      <c r="K15" t="s">
        <v>343</v>
      </c>
    </row>
    <row r="16" spans="3:14" x14ac:dyDescent="0.25">
      <c r="C16">
        <v>90</v>
      </c>
      <c r="D16">
        <v>70</v>
      </c>
      <c r="E16">
        <v>20</v>
      </c>
      <c r="F16">
        <v>1658</v>
      </c>
      <c r="G16">
        <f t="shared" si="0"/>
        <v>0.7142857142857143</v>
      </c>
      <c r="I16">
        <f t="shared" si="1"/>
        <v>60</v>
      </c>
      <c r="K16" t="s">
        <v>344</v>
      </c>
    </row>
    <row r="17" spans="3:11" x14ac:dyDescent="0.25">
      <c r="C17">
        <v>90</v>
      </c>
      <c r="D17">
        <v>70</v>
      </c>
      <c r="E17">
        <v>20</v>
      </c>
      <c r="F17">
        <v>2382</v>
      </c>
      <c r="G17">
        <f t="shared" si="0"/>
        <v>0.7142857142857143</v>
      </c>
      <c r="I17">
        <f t="shared" si="1"/>
        <v>60</v>
      </c>
      <c r="K17" t="s">
        <v>345</v>
      </c>
    </row>
    <row r="18" spans="3:11" x14ac:dyDescent="0.25">
      <c r="C18">
        <v>90</v>
      </c>
      <c r="D18">
        <v>70</v>
      </c>
      <c r="E18">
        <v>20</v>
      </c>
      <c r="F18">
        <v>1427</v>
      </c>
      <c r="G18">
        <f t="shared" si="0"/>
        <v>0.7142857142857143</v>
      </c>
      <c r="I18">
        <f t="shared" si="1"/>
        <v>60</v>
      </c>
      <c r="K18" t="s">
        <v>346</v>
      </c>
    </row>
    <row r="19" spans="3:11" x14ac:dyDescent="0.25">
      <c r="C19">
        <v>90</v>
      </c>
      <c r="D19">
        <v>70</v>
      </c>
      <c r="E19">
        <v>20</v>
      </c>
      <c r="F19">
        <v>1843</v>
      </c>
      <c r="G19">
        <f t="shared" si="0"/>
        <v>0.7142857142857143</v>
      </c>
      <c r="I19">
        <f t="shared" si="1"/>
        <v>60</v>
      </c>
      <c r="K19" t="s">
        <v>347</v>
      </c>
    </row>
    <row r="20" spans="3:11" x14ac:dyDescent="0.25">
      <c r="C20">
        <v>90</v>
      </c>
      <c r="D20">
        <v>70</v>
      </c>
      <c r="E20">
        <v>20</v>
      </c>
      <c r="F20">
        <v>2647</v>
      </c>
      <c r="G20">
        <f t="shared" si="0"/>
        <v>0.7142857142857143</v>
      </c>
      <c r="I20">
        <f t="shared" si="1"/>
        <v>60</v>
      </c>
      <c r="K20" t="s">
        <v>348</v>
      </c>
    </row>
    <row r="21" spans="3:11" x14ac:dyDescent="0.25">
      <c r="C21">
        <v>90</v>
      </c>
      <c r="D21">
        <v>70</v>
      </c>
      <c r="E21">
        <v>20</v>
      </c>
      <c r="F21">
        <v>1570</v>
      </c>
      <c r="G21">
        <f t="shared" si="0"/>
        <v>0.7142857142857143</v>
      </c>
      <c r="I21">
        <f t="shared" si="1"/>
        <v>60</v>
      </c>
      <c r="K21" t="s">
        <v>349</v>
      </c>
    </row>
    <row r="22" spans="3:11" x14ac:dyDescent="0.25">
      <c r="C22">
        <v>90</v>
      </c>
      <c r="D22">
        <v>70</v>
      </c>
      <c r="E22">
        <v>20</v>
      </c>
      <c r="F22">
        <v>2027</v>
      </c>
      <c r="G22">
        <f t="shared" si="0"/>
        <v>0.7142857142857143</v>
      </c>
      <c r="I22">
        <f t="shared" si="1"/>
        <v>60</v>
      </c>
      <c r="K22" t="s">
        <v>350</v>
      </c>
    </row>
    <row r="23" spans="3:11" x14ac:dyDescent="0.25">
      <c r="C23">
        <v>90</v>
      </c>
      <c r="D23">
        <v>70</v>
      </c>
      <c r="E23">
        <v>20</v>
      </c>
      <c r="F23">
        <v>2912</v>
      </c>
      <c r="G23">
        <f t="shared" si="0"/>
        <v>0.7142857142857143</v>
      </c>
      <c r="I23">
        <f t="shared" si="1"/>
        <v>60</v>
      </c>
      <c r="K23" t="s">
        <v>351</v>
      </c>
    </row>
    <row r="24" spans="3:11" x14ac:dyDescent="0.25">
      <c r="C24">
        <v>90</v>
      </c>
      <c r="D24">
        <v>70</v>
      </c>
      <c r="E24">
        <v>20</v>
      </c>
      <c r="F24">
        <v>1712</v>
      </c>
      <c r="G24">
        <f t="shared" si="0"/>
        <v>0.7142857142857143</v>
      </c>
      <c r="I24">
        <f t="shared" si="1"/>
        <v>60</v>
      </c>
      <c r="K24" t="s">
        <v>352</v>
      </c>
    </row>
    <row r="25" spans="3:11" x14ac:dyDescent="0.25">
      <c r="C25">
        <v>90</v>
      </c>
      <c r="D25">
        <v>70</v>
      </c>
      <c r="E25">
        <v>20</v>
      </c>
      <c r="F25">
        <v>2211</v>
      </c>
      <c r="G25">
        <f t="shared" si="0"/>
        <v>0.7142857142857143</v>
      </c>
      <c r="I25">
        <f t="shared" si="1"/>
        <v>60</v>
      </c>
      <c r="K25" t="s">
        <v>353</v>
      </c>
    </row>
    <row r="26" spans="3:11" x14ac:dyDescent="0.25">
      <c r="C26">
        <v>90</v>
      </c>
      <c r="D26">
        <v>70</v>
      </c>
      <c r="E26">
        <v>20</v>
      </c>
      <c r="F26">
        <v>3177</v>
      </c>
      <c r="G26">
        <f t="shared" si="0"/>
        <v>0.7142857142857143</v>
      </c>
      <c r="I26">
        <f t="shared" si="1"/>
        <v>60</v>
      </c>
      <c r="K26" t="s">
        <v>354</v>
      </c>
    </row>
    <row r="27" spans="3:11" x14ac:dyDescent="0.25">
      <c r="C27">
        <v>90</v>
      </c>
      <c r="D27">
        <v>70</v>
      </c>
      <c r="E27">
        <v>20</v>
      </c>
      <c r="F27">
        <v>1998</v>
      </c>
      <c r="G27">
        <f t="shared" si="0"/>
        <v>0.7142857142857143</v>
      </c>
      <c r="I27">
        <f t="shared" si="1"/>
        <v>60</v>
      </c>
      <c r="K27" t="s">
        <v>355</v>
      </c>
    </row>
    <row r="28" spans="3:11" x14ac:dyDescent="0.25">
      <c r="C28">
        <v>90</v>
      </c>
      <c r="D28">
        <v>70</v>
      </c>
      <c r="E28">
        <v>20</v>
      </c>
      <c r="F28">
        <v>2580</v>
      </c>
      <c r="G28">
        <f t="shared" si="0"/>
        <v>0.7142857142857143</v>
      </c>
      <c r="I28">
        <f t="shared" si="1"/>
        <v>60</v>
      </c>
      <c r="K28" t="s">
        <v>356</v>
      </c>
    </row>
    <row r="29" spans="3:11" x14ac:dyDescent="0.25">
      <c r="C29">
        <v>90</v>
      </c>
      <c r="D29">
        <v>70</v>
      </c>
      <c r="E29">
        <v>20</v>
      </c>
      <c r="F29">
        <v>3706</v>
      </c>
      <c r="G29">
        <f t="shared" si="0"/>
        <v>0.7142857142857143</v>
      </c>
      <c r="I29">
        <f t="shared" si="1"/>
        <v>60</v>
      </c>
      <c r="K29" t="s">
        <v>357</v>
      </c>
    </row>
    <row r="30" spans="3:11" x14ac:dyDescent="0.25">
      <c r="C30">
        <v>90</v>
      </c>
      <c r="D30">
        <v>70</v>
      </c>
      <c r="E30">
        <v>20</v>
      </c>
      <c r="F30">
        <v>2283</v>
      </c>
      <c r="G30">
        <f t="shared" si="0"/>
        <v>0.7142857142857143</v>
      </c>
      <c r="I30">
        <f t="shared" si="1"/>
        <v>60</v>
      </c>
      <c r="K30" t="s">
        <v>358</v>
      </c>
    </row>
    <row r="31" spans="3:11" x14ac:dyDescent="0.25">
      <c r="C31">
        <v>90</v>
      </c>
      <c r="D31">
        <v>70</v>
      </c>
      <c r="E31">
        <v>20</v>
      </c>
      <c r="F31">
        <v>2948</v>
      </c>
      <c r="G31">
        <f t="shared" si="0"/>
        <v>0.7142857142857143</v>
      </c>
      <c r="I31">
        <f t="shared" si="1"/>
        <v>60</v>
      </c>
      <c r="K31" t="s">
        <v>359</v>
      </c>
    </row>
    <row r="32" spans="3:11" x14ac:dyDescent="0.25">
      <c r="C32">
        <v>90</v>
      </c>
      <c r="D32">
        <v>70</v>
      </c>
      <c r="E32">
        <v>20</v>
      </c>
      <c r="F32">
        <v>4235</v>
      </c>
      <c r="G32">
        <f t="shared" si="0"/>
        <v>0.7142857142857143</v>
      </c>
      <c r="I32">
        <f t="shared" si="1"/>
        <v>60</v>
      </c>
      <c r="K32" t="s">
        <v>360</v>
      </c>
    </row>
    <row r="33" spans="3:11" x14ac:dyDescent="0.25">
      <c r="C33">
        <v>90</v>
      </c>
      <c r="D33">
        <v>70</v>
      </c>
      <c r="E33">
        <v>20</v>
      </c>
      <c r="F33">
        <v>2569</v>
      </c>
      <c r="G33">
        <f t="shared" si="0"/>
        <v>0.7142857142857143</v>
      </c>
      <c r="I33">
        <f t="shared" si="1"/>
        <v>60</v>
      </c>
      <c r="K33" t="s">
        <v>361</v>
      </c>
    </row>
    <row r="34" spans="3:11" x14ac:dyDescent="0.25">
      <c r="C34">
        <v>90</v>
      </c>
      <c r="D34">
        <v>70</v>
      </c>
      <c r="E34">
        <v>20</v>
      </c>
      <c r="F34">
        <v>3317</v>
      </c>
      <c r="G34">
        <f t="shared" si="0"/>
        <v>0.7142857142857143</v>
      </c>
      <c r="I34">
        <f t="shared" si="1"/>
        <v>60</v>
      </c>
      <c r="K34" t="s">
        <v>362</v>
      </c>
    </row>
    <row r="35" spans="3:11" x14ac:dyDescent="0.25">
      <c r="C35">
        <v>90</v>
      </c>
      <c r="D35">
        <v>70</v>
      </c>
      <c r="E35">
        <v>20</v>
      </c>
      <c r="F35">
        <v>4765</v>
      </c>
      <c r="G35">
        <f t="shared" si="0"/>
        <v>0.7142857142857143</v>
      </c>
      <c r="I35">
        <f t="shared" si="1"/>
        <v>60</v>
      </c>
      <c r="K35" t="s">
        <v>363</v>
      </c>
    </row>
    <row r="36" spans="3:11" x14ac:dyDescent="0.25">
      <c r="C36">
        <v>90</v>
      </c>
      <c r="D36">
        <v>70</v>
      </c>
      <c r="E36">
        <v>20</v>
      </c>
      <c r="F36">
        <v>2854</v>
      </c>
      <c r="G36">
        <f t="shared" si="0"/>
        <v>0.7142857142857143</v>
      </c>
      <c r="I36">
        <f t="shared" si="1"/>
        <v>60</v>
      </c>
      <c r="K36" t="s">
        <v>364</v>
      </c>
    </row>
    <row r="37" spans="3:11" x14ac:dyDescent="0.25">
      <c r="C37">
        <v>90</v>
      </c>
      <c r="D37">
        <v>70</v>
      </c>
      <c r="E37">
        <v>20</v>
      </c>
      <c r="F37">
        <v>3685</v>
      </c>
      <c r="G37">
        <f t="shared" si="0"/>
        <v>0.7142857142857143</v>
      </c>
      <c r="I37">
        <f t="shared" si="1"/>
        <v>60</v>
      </c>
      <c r="K37" t="s">
        <v>365</v>
      </c>
    </row>
    <row r="38" spans="3:11" x14ac:dyDescent="0.25">
      <c r="C38">
        <v>90</v>
      </c>
      <c r="D38">
        <v>70</v>
      </c>
      <c r="E38">
        <v>20</v>
      </c>
      <c r="F38">
        <v>5294</v>
      </c>
      <c r="G38">
        <f t="shared" si="0"/>
        <v>0.7142857142857143</v>
      </c>
      <c r="I38">
        <f t="shared" si="1"/>
        <v>60</v>
      </c>
      <c r="K38" t="s">
        <v>366</v>
      </c>
    </row>
    <row r="39" spans="3:11" x14ac:dyDescent="0.25">
      <c r="C39">
        <v>90</v>
      </c>
      <c r="D39">
        <v>70</v>
      </c>
      <c r="E39">
        <v>20</v>
      </c>
      <c r="F39">
        <v>3282</v>
      </c>
      <c r="G39">
        <f t="shared" si="0"/>
        <v>0.7142857142857143</v>
      </c>
      <c r="I39">
        <f t="shared" si="1"/>
        <v>60</v>
      </c>
      <c r="K39" t="s">
        <v>367</v>
      </c>
    </row>
    <row r="40" spans="3:11" x14ac:dyDescent="0.25">
      <c r="C40">
        <v>90</v>
      </c>
      <c r="D40">
        <v>70</v>
      </c>
      <c r="E40">
        <v>20</v>
      </c>
      <c r="F40">
        <v>4238</v>
      </c>
      <c r="G40">
        <f t="shared" si="0"/>
        <v>0.7142857142857143</v>
      </c>
      <c r="I40">
        <f t="shared" si="1"/>
        <v>60</v>
      </c>
      <c r="K40" t="s">
        <v>368</v>
      </c>
    </row>
    <row r="41" spans="3:11" x14ac:dyDescent="0.25">
      <c r="C41">
        <v>90</v>
      </c>
      <c r="D41">
        <v>70</v>
      </c>
      <c r="E41">
        <v>20</v>
      </c>
      <c r="F41">
        <v>4791</v>
      </c>
      <c r="G41">
        <f t="shared" si="0"/>
        <v>0.7142857142857143</v>
      </c>
      <c r="I41">
        <f t="shared" si="1"/>
        <v>60</v>
      </c>
      <c r="K41" t="s">
        <v>369</v>
      </c>
    </row>
    <row r="42" spans="3:11" x14ac:dyDescent="0.25">
      <c r="C42">
        <v>90</v>
      </c>
      <c r="D42">
        <v>70</v>
      </c>
      <c r="E42">
        <v>20</v>
      </c>
      <c r="F42">
        <v>5528</v>
      </c>
      <c r="G42">
        <f t="shared" si="0"/>
        <v>0.7142857142857143</v>
      </c>
      <c r="I42">
        <f t="shared" si="1"/>
        <v>60</v>
      </c>
      <c r="K42" t="s">
        <v>370</v>
      </c>
    </row>
    <row r="43" spans="3:11" x14ac:dyDescent="0.25">
      <c r="C43">
        <v>90</v>
      </c>
      <c r="D43">
        <v>70</v>
      </c>
      <c r="E43">
        <v>20</v>
      </c>
      <c r="F43">
        <v>412</v>
      </c>
      <c r="G43">
        <f t="shared" si="0"/>
        <v>0.7142857142857143</v>
      </c>
      <c r="I43">
        <f t="shared" si="1"/>
        <v>60</v>
      </c>
      <c r="K43" t="s">
        <v>371</v>
      </c>
    </row>
    <row r="44" spans="3:11" x14ac:dyDescent="0.25">
      <c r="C44">
        <v>90</v>
      </c>
      <c r="D44">
        <v>70</v>
      </c>
      <c r="E44">
        <v>20</v>
      </c>
      <c r="F44">
        <v>539</v>
      </c>
      <c r="G44">
        <f t="shared" si="0"/>
        <v>0.7142857142857143</v>
      </c>
      <c r="I44">
        <f t="shared" si="1"/>
        <v>60</v>
      </c>
      <c r="K44" t="s">
        <v>372</v>
      </c>
    </row>
    <row r="45" spans="3:11" x14ac:dyDescent="0.25">
      <c r="C45">
        <v>90</v>
      </c>
      <c r="D45">
        <v>70</v>
      </c>
      <c r="E45">
        <v>20</v>
      </c>
      <c r="F45">
        <v>515</v>
      </c>
      <c r="G45">
        <f t="shared" si="0"/>
        <v>0.7142857142857143</v>
      </c>
      <c r="I45">
        <f t="shared" si="1"/>
        <v>60</v>
      </c>
      <c r="K45" t="s">
        <v>373</v>
      </c>
    </row>
    <row r="46" spans="3:11" x14ac:dyDescent="0.25">
      <c r="C46">
        <v>90</v>
      </c>
      <c r="D46">
        <v>70</v>
      </c>
      <c r="E46">
        <v>20</v>
      </c>
      <c r="F46">
        <v>674</v>
      </c>
      <c r="G46">
        <f t="shared" si="0"/>
        <v>0.7142857142857143</v>
      </c>
      <c r="I46">
        <f t="shared" si="1"/>
        <v>60</v>
      </c>
      <c r="K46" t="s">
        <v>374</v>
      </c>
    </row>
    <row r="47" spans="3:11" x14ac:dyDescent="0.25">
      <c r="C47">
        <v>90</v>
      </c>
      <c r="D47">
        <v>70</v>
      </c>
      <c r="E47">
        <v>20</v>
      </c>
      <c r="F47">
        <v>618</v>
      </c>
      <c r="G47">
        <f t="shared" si="0"/>
        <v>0.7142857142857143</v>
      </c>
      <c r="I47">
        <f t="shared" si="1"/>
        <v>60</v>
      </c>
      <c r="K47" t="s">
        <v>375</v>
      </c>
    </row>
    <row r="48" spans="3:11" x14ac:dyDescent="0.25">
      <c r="C48">
        <v>90</v>
      </c>
      <c r="D48">
        <v>70</v>
      </c>
      <c r="E48">
        <v>20</v>
      </c>
      <c r="F48">
        <v>809</v>
      </c>
      <c r="G48">
        <f t="shared" si="0"/>
        <v>0.7142857142857143</v>
      </c>
      <c r="I48">
        <f t="shared" si="1"/>
        <v>60</v>
      </c>
      <c r="K48" t="s">
        <v>376</v>
      </c>
    </row>
    <row r="49" spans="3:11" x14ac:dyDescent="0.25">
      <c r="C49">
        <v>90</v>
      </c>
      <c r="D49">
        <v>70</v>
      </c>
      <c r="E49">
        <v>20</v>
      </c>
      <c r="F49">
        <v>722</v>
      </c>
      <c r="G49">
        <f t="shared" si="0"/>
        <v>0.7142857142857143</v>
      </c>
      <c r="I49">
        <f t="shared" si="1"/>
        <v>60</v>
      </c>
      <c r="K49" t="s">
        <v>377</v>
      </c>
    </row>
    <row r="50" spans="3:11" x14ac:dyDescent="0.25">
      <c r="C50">
        <v>90</v>
      </c>
      <c r="D50">
        <v>70</v>
      </c>
      <c r="E50">
        <v>20</v>
      </c>
      <c r="F50">
        <v>944</v>
      </c>
      <c r="G50">
        <f t="shared" si="0"/>
        <v>0.7142857142857143</v>
      </c>
      <c r="I50">
        <f t="shared" si="1"/>
        <v>60</v>
      </c>
      <c r="K50" t="s">
        <v>378</v>
      </c>
    </row>
    <row r="51" spans="3:11" x14ac:dyDescent="0.25">
      <c r="C51">
        <v>90</v>
      </c>
      <c r="D51">
        <v>70</v>
      </c>
      <c r="E51">
        <v>20</v>
      </c>
      <c r="F51">
        <v>825</v>
      </c>
      <c r="G51">
        <f t="shared" si="0"/>
        <v>0.7142857142857143</v>
      </c>
      <c r="I51">
        <f t="shared" si="1"/>
        <v>60</v>
      </c>
      <c r="K51" t="s">
        <v>379</v>
      </c>
    </row>
    <row r="52" spans="3:11" x14ac:dyDescent="0.25">
      <c r="C52">
        <v>90</v>
      </c>
      <c r="D52">
        <v>70</v>
      </c>
      <c r="E52">
        <v>20</v>
      </c>
      <c r="F52">
        <v>1079</v>
      </c>
      <c r="G52">
        <f t="shared" si="0"/>
        <v>0.7142857142857143</v>
      </c>
      <c r="I52">
        <f t="shared" si="1"/>
        <v>60</v>
      </c>
      <c r="K52" t="s">
        <v>380</v>
      </c>
    </row>
    <row r="53" spans="3:11" x14ac:dyDescent="0.25">
      <c r="C53">
        <v>90</v>
      </c>
      <c r="D53">
        <v>70</v>
      </c>
      <c r="E53">
        <v>20</v>
      </c>
      <c r="F53">
        <v>928</v>
      </c>
      <c r="G53">
        <f t="shared" si="0"/>
        <v>0.7142857142857143</v>
      </c>
      <c r="I53">
        <f t="shared" si="1"/>
        <v>60</v>
      </c>
      <c r="K53" t="s">
        <v>381</v>
      </c>
    </row>
    <row r="54" spans="3:11" x14ac:dyDescent="0.25">
      <c r="C54">
        <v>90</v>
      </c>
      <c r="D54">
        <v>70</v>
      </c>
      <c r="E54">
        <v>20</v>
      </c>
      <c r="F54">
        <v>1213</v>
      </c>
      <c r="G54">
        <f t="shared" si="0"/>
        <v>0.7142857142857143</v>
      </c>
      <c r="I54">
        <f t="shared" si="1"/>
        <v>60</v>
      </c>
      <c r="K54" t="s">
        <v>382</v>
      </c>
    </row>
    <row r="55" spans="3:11" x14ac:dyDescent="0.25">
      <c r="C55">
        <v>90</v>
      </c>
      <c r="D55">
        <v>70</v>
      </c>
      <c r="E55">
        <v>20</v>
      </c>
      <c r="F55">
        <v>1031</v>
      </c>
      <c r="G55">
        <f t="shared" si="0"/>
        <v>0.7142857142857143</v>
      </c>
      <c r="I55">
        <f t="shared" si="1"/>
        <v>60</v>
      </c>
      <c r="K55" t="s">
        <v>383</v>
      </c>
    </row>
    <row r="56" spans="3:11" x14ac:dyDescent="0.25">
      <c r="C56">
        <v>90</v>
      </c>
      <c r="D56">
        <v>70</v>
      </c>
      <c r="E56">
        <v>20</v>
      </c>
      <c r="F56">
        <v>1348</v>
      </c>
      <c r="G56">
        <f t="shared" si="0"/>
        <v>0.7142857142857143</v>
      </c>
      <c r="I56">
        <f t="shared" si="1"/>
        <v>60</v>
      </c>
      <c r="K56" t="s">
        <v>384</v>
      </c>
    </row>
    <row r="57" spans="3:11" x14ac:dyDescent="0.25">
      <c r="C57">
        <v>90</v>
      </c>
      <c r="D57">
        <v>70</v>
      </c>
      <c r="E57">
        <v>20</v>
      </c>
      <c r="F57">
        <v>1134</v>
      </c>
      <c r="G57">
        <f t="shared" si="0"/>
        <v>0.7142857142857143</v>
      </c>
      <c r="I57">
        <f t="shared" si="1"/>
        <v>60</v>
      </c>
      <c r="K57" t="s">
        <v>385</v>
      </c>
    </row>
    <row r="58" spans="3:11" x14ac:dyDescent="0.25">
      <c r="C58">
        <v>90</v>
      </c>
      <c r="D58">
        <v>70</v>
      </c>
      <c r="E58">
        <v>20</v>
      </c>
      <c r="F58">
        <v>1483</v>
      </c>
      <c r="G58">
        <f t="shared" si="0"/>
        <v>0.7142857142857143</v>
      </c>
      <c r="I58">
        <f t="shared" si="1"/>
        <v>60</v>
      </c>
      <c r="K58" t="s">
        <v>386</v>
      </c>
    </row>
    <row r="59" spans="3:11" x14ac:dyDescent="0.25">
      <c r="C59">
        <v>90</v>
      </c>
      <c r="D59">
        <v>70</v>
      </c>
      <c r="E59">
        <v>20</v>
      </c>
      <c r="F59">
        <v>1237</v>
      </c>
      <c r="G59">
        <f t="shared" si="0"/>
        <v>0.7142857142857143</v>
      </c>
      <c r="I59">
        <f t="shared" si="1"/>
        <v>60</v>
      </c>
      <c r="K59" t="s">
        <v>387</v>
      </c>
    </row>
    <row r="60" spans="3:11" x14ac:dyDescent="0.25">
      <c r="C60">
        <v>90</v>
      </c>
      <c r="D60">
        <v>70</v>
      </c>
      <c r="E60">
        <v>20</v>
      </c>
      <c r="F60">
        <v>1618</v>
      </c>
      <c r="G60">
        <f t="shared" si="0"/>
        <v>0.7142857142857143</v>
      </c>
      <c r="I60">
        <f t="shared" si="1"/>
        <v>60</v>
      </c>
      <c r="K60" t="s">
        <v>388</v>
      </c>
    </row>
    <row r="61" spans="3:11" x14ac:dyDescent="0.25">
      <c r="C61">
        <v>90</v>
      </c>
      <c r="D61">
        <v>70</v>
      </c>
      <c r="E61">
        <v>20</v>
      </c>
      <c r="F61">
        <v>1443</v>
      </c>
      <c r="G61">
        <f t="shared" si="0"/>
        <v>0.7142857142857143</v>
      </c>
      <c r="I61">
        <f t="shared" si="1"/>
        <v>60</v>
      </c>
      <c r="K61" t="s">
        <v>389</v>
      </c>
    </row>
    <row r="62" spans="3:11" x14ac:dyDescent="0.25">
      <c r="C62">
        <v>90</v>
      </c>
      <c r="D62">
        <v>70</v>
      </c>
      <c r="E62">
        <v>20</v>
      </c>
      <c r="F62">
        <v>1888</v>
      </c>
      <c r="G62">
        <f t="shared" si="0"/>
        <v>0.7142857142857143</v>
      </c>
      <c r="I62">
        <f t="shared" si="1"/>
        <v>60</v>
      </c>
      <c r="K62" t="s">
        <v>390</v>
      </c>
    </row>
    <row r="63" spans="3:11" x14ac:dyDescent="0.25">
      <c r="C63">
        <v>90</v>
      </c>
      <c r="D63">
        <v>70</v>
      </c>
      <c r="E63">
        <v>20</v>
      </c>
      <c r="F63">
        <v>1649</v>
      </c>
      <c r="G63">
        <f t="shared" si="0"/>
        <v>0.7142857142857143</v>
      </c>
      <c r="I63">
        <f t="shared" si="1"/>
        <v>60</v>
      </c>
      <c r="K63" t="s">
        <v>391</v>
      </c>
    </row>
    <row r="64" spans="3:11" x14ac:dyDescent="0.25">
      <c r="C64">
        <v>90</v>
      </c>
      <c r="D64">
        <v>70</v>
      </c>
      <c r="E64">
        <v>20</v>
      </c>
      <c r="F64">
        <v>2157</v>
      </c>
      <c r="G64">
        <f t="shared" si="0"/>
        <v>0.7142857142857143</v>
      </c>
      <c r="I64">
        <f t="shared" si="1"/>
        <v>60</v>
      </c>
      <c r="K64" t="s">
        <v>392</v>
      </c>
    </row>
    <row r="65" spans="3:11" x14ac:dyDescent="0.25">
      <c r="C65">
        <v>90</v>
      </c>
      <c r="D65">
        <v>70</v>
      </c>
      <c r="E65">
        <v>20</v>
      </c>
      <c r="F65">
        <v>1855</v>
      </c>
      <c r="G65">
        <f t="shared" si="0"/>
        <v>0.7142857142857143</v>
      </c>
      <c r="I65">
        <f t="shared" si="1"/>
        <v>60</v>
      </c>
      <c r="K65" t="s">
        <v>393</v>
      </c>
    </row>
    <row r="66" spans="3:11" x14ac:dyDescent="0.25">
      <c r="C66">
        <v>90</v>
      </c>
      <c r="D66">
        <v>70</v>
      </c>
      <c r="E66">
        <v>20</v>
      </c>
      <c r="F66">
        <v>2427</v>
      </c>
      <c r="G66">
        <f t="shared" si="0"/>
        <v>0.7142857142857143</v>
      </c>
      <c r="I66">
        <f t="shared" si="1"/>
        <v>60</v>
      </c>
      <c r="K66" t="s">
        <v>394</v>
      </c>
    </row>
    <row r="67" spans="3:11" x14ac:dyDescent="0.25">
      <c r="C67">
        <v>90</v>
      </c>
      <c r="D67">
        <v>70</v>
      </c>
      <c r="E67">
        <v>20</v>
      </c>
      <c r="F67">
        <v>2062</v>
      </c>
      <c r="G67">
        <f t="shared" ref="G67:G120" si="2">(D67-E67)/(C67-E67)</f>
        <v>0.7142857142857143</v>
      </c>
      <c r="I67">
        <f t="shared" ref="I67:I120" si="3">IF(G67&gt;=0.7,(C67+D67)/2-E67,(C67-D67)/(LN((C67-E67)/(D67-E67))))</f>
        <v>60</v>
      </c>
      <c r="K67" t="s">
        <v>395</v>
      </c>
    </row>
    <row r="68" spans="3:11" x14ac:dyDescent="0.25">
      <c r="C68">
        <v>90</v>
      </c>
      <c r="D68">
        <v>70</v>
      </c>
      <c r="E68">
        <v>20</v>
      </c>
      <c r="F68">
        <v>2696</v>
      </c>
      <c r="G68">
        <f t="shared" si="2"/>
        <v>0.7142857142857143</v>
      </c>
      <c r="I68">
        <f t="shared" si="3"/>
        <v>60</v>
      </c>
      <c r="K68" t="s">
        <v>396</v>
      </c>
    </row>
    <row r="69" spans="3:11" x14ac:dyDescent="0.25">
      <c r="C69">
        <v>90</v>
      </c>
      <c r="D69">
        <v>70</v>
      </c>
      <c r="E69">
        <v>20</v>
      </c>
      <c r="F69">
        <v>720</v>
      </c>
      <c r="G69">
        <f t="shared" si="2"/>
        <v>0.7142857142857143</v>
      </c>
      <c r="I69">
        <f t="shared" si="3"/>
        <v>60</v>
      </c>
      <c r="K69" t="s">
        <v>397</v>
      </c>
    </row>
    <row r="70" spans="3:11" x14ac:dyDescent="0.25">
      <c r="C70">
        <v>90</v>
      </c>
      <c r="D70">
        <v>70</v>
      </c>
      <c r="E70">
        <v>20</v>
      </c>
      <c r="F70">
        <v>1191</v>
      </c>
      <c r="G70">
        <f t="shared" si="2"/>
        <v>0.7142857142857143</v>
      </c>
      <c r="I70">
        <f t="shared" si="3"/>
        <v>60</v>
      </c>
      <c r="K70" t="s">
        <v>398</v>
      </c>
    </row>
    <row r="71" spans="3:11" x14ac:dyDescent="0.25">
      <c r="C71">
        <v>90</v>
      </c>
      <c r="D71">
        <v>70</v>
      </c>
      <c r="E71">
        <v>20</v>
      </c>
      <c r="F71">
        <v>900</v>
      </c>
      <c r="G71">
        <f t="shared" si="2"/>
        <v>0.7142857142857143</v>
      </c>
      <c r="I71">
        <f t="shared" si="3"/>
        <v>60</v>
      </c>
      <c r="K71" t="s">
        <v>399</v>
      </c>
    </row>
    <row r="72" spans="3:11" x14ac:dyDescent="0.25">
      <c r="C72">
        <v>90</v>
      </c>
      <c r="D72">
        <v>70</v>
      </c>
      <c r="E72">
        <v>20</v>
      </c>
      <c r="F72">
        <v>1489</v>
      </c>
      <c r="G72">
        <f t="shared" si="2"/>
        <v>0.7142857142857143</v>
      </c>
      <c r="I72">
        <f t="shared" si="3"/>
        <v>60</v>
      </c>
      <c r="K72" t="s">
        <v>400</v>
      </c>
    </row>
    <row r="73" spans="3:11" x14ac:dyDescent="0.25">
      <c r="C73">
        <v>90</v>
      </c>
      <c r="D73">
        <v>70</v>
      </c>
      <c r="E73">
        <v>20</v>
      </c>
      <c r="F73">
        <v>1079</v>
      </c>
      <c r="G73">
        <f t="shared" si="2"/>
        <v>0.7142857142857143</v>
      </c>
      <c r="I73">
        <f t="shared" si="3"/>
        <v>60</v>
      </c>
      <c r="K73" t="s">
        <v>401</v>
      </c>
    </row>
    <row r="74" spans="3:11" x14ac:dyDescent="0.25">
      <c r="C74">
        <v>90</v>
      </c>
      <c r="D74">
        <v>70</v>
      </c>
      <c r="E74">
        <v>20</v>
      </c>
      <c r="F74">
        <v>1786</v>
      </c>
      <c r="G74">
        <f t="shared" si="2"/>
        <v>0.7142857142857143</v>
      </c>
      <c r="I74">
        <f t="shared" si="3"/>
        <v>60</v>
      </c>
      <c r="K74" t="s">
        <v>402</v>
      </c>
    </row>
    <row r="75" spans="3:11" x14ac:dyDescent="0.25">
      <c r="C75">
        <v>90</v>
      </c>
      <c r="D75">
        <v>70</v>
      </c>
      <c r="E75">
        <v>20</v>
      </c>
      <c r="F75">
        <v>1259</v>
      </c>
      <c r="G75">
        <f t="shared" si="2"/>
        <v>0.7142857142857143</v>
      </c>
      <c r="I75">
        <f t="shared" si="3"/>
        <v>60</v>
      </c>
      <c r="K75" t="s">
        <v>403</v>
      </c>
    </row>
    <row r="76" spans="3:11" x14ac:dyDescent="0.25">
      <c r="C76">
        <v>90</v>
      </c>
      <c r="D76">
        <v>70</v>
      </c>
      <c r="E76">
        <v>20</v>
      </c>
      <c r="F76">
        <v>2084</v>
      </c>
      <c r="G76">
        <f t="shared" si="2"/>
        <v>0.7142857142857143</v>
      </c>
      <c r="I76">
        <f t="shared" si="3"/>
        <v>60</v>
      </c>
      <c r="K76" t="s">
        <v>404</v>
      </c>
    </row>
    <row r="77" spans="3:11" x14ac:dyDescent="0.25">
      <c r="C77">
        <v>90</v>
      </c>
      <c r="D77">
        <v>70</v>
      </c>
      <c r="E77">
        <v>20</v>
      </c>
      <c r="F77">
        <v>1439</v>
      </c>
      <c r="G77">
        <f t="shared" si="2"/>
        <v>0.7142857142857143</v>
      </c>
      <c r="I77">
        <f t="shared" si="3"/>
        <v>60</v>
      </c>
      <c r="K77" t="s">
        <v>405</v>
      </c>
    </row>
    <row r="78" spans="3:11" x14ac:dyDescent="0.25">
      <c r="C78">
        <v>90</v>
      </c>
      <c r="D78">
        <v>70</v>
      </c>
      <c r="E78">
        <v>20</v>
      </c>
      <c r="F78">
        <v>2058</v>
      </c>
      <c r="G78">
        <f t="shared" si="2"/>
        <v>0.7142857142857143</v>
      </c>
      <c r="I78">
        <f t="shared" si="3"/>
        <v>60</v>
      </c>
      <c r="K78" t="s">
        <v>406</v>
      </c>
    </row>
    <row r="79" spans="3:11" x14ac:dyDescent="0.25">
      <c r="C79">
        <v>90</v>
      </c>
      <c r="D79">
        <v>70</v>
      </c>
      <c r="E79">
        <v>20</v>
      </c>
      <c r="F79">
        <v>1619</v>
      </c>
      <c r="G79">
        <f t="shared" si="2"/>
        <v>0.7142857142857143</v>
      </c>
      <c r="I79">
        <f t="shared" si="3"/>
        <v>60</v>
      </c>
      <c r="K79" t="s">
        <v>407</v>
      </c>
    </row>
    <row r="80" spans="3:11" x14ac:dyDescent="0.25">
      <c r="C80">
        <v>90</v>
      </c>
      <c r="D80">
        <v>70</v>
      </c>
      <c r="E80">
        <v>20</v>
      </c>
      <c r="F80">
        <v>2316</v>
      </c>
      <c r="G80">
        <f t="shared" si="2"/>
        <v>0.7142857142857143</v>
      </c>
      <c r="I80">
        <f t="shared" si="3"/>
        <v>60</v>
      </c>
      <c r="K80" t="s">
        <v>408</v>
      </c>
    </row>
    <row r="81" spans="3:11" x14ac:dyDescent="0.25">
      <c r="C81">
        <v>90</v>
      </c>
      <c r="D81">
        <v>70</v>
      </c>
      <c r="E81">
        <v>20</v>
      </c>
      <c r="F81">
        <v>1799</v>
      </c>
      <c r="G81">
        <f t="shared" si="2"/>
        <v>0.7142857142857143</v>
      </c>
      <c r="I81">
        <f t="shared" si="3"/>
        <v>60</v>
      </c>
      <c r="K81" t="s">
        <v>409</v>
      </c>
    </row>
    <row r="82" spans="3:11" x14ac:dyDescent="0.25">
      <c r="C82">
        <v>90</v>
      </c>
      <c r="D82">
        <v>70</v>
      </c>
      <c r="E82">
        <v>20</v>
      </c>
      <c r="F82">
        <v>2573</v>
      </c>
      <c r="G82">
        <f t="shared" si="2"/>
        <v>0.7142857142857143</v>
      </c>
      <c r="I82">
        <f t="shared" si="3"/>
        <v>60</v>
      </c>
      <c r="K82" t="s">
        <v>410</v>
      </c>
    </row>
    <row r="83" spans="3:11" x14ac:dyDescent="0.25">
      <c r="C83">
        <v>90</v>
      </c>
      <c r="D83">
        <v>70</v>
      </c>
      <c r="E83">
        <v>20</v>
      </c>
      <c r="F83">
        <v>1979</v>
      </c>
      <c r="G83">
        <f t="shared" si="2"/>
        <v>0.7142857142857143</v>
      </c>
      <c r="I83">
        <f t="shared" si="3"/>
        <v>60</v>
      </c>
      <c r="K83" t="s">
        <v>411</v>
      </c>
    </row>
    <row r="84" spans="3:11" x14ac:dyDescent="0.25">
      <c r="C84">
        <v>90</v>
      </c>
      <c r="D84">
        <v>70</v>
      </c>
      <c r="E84">
        <v>20</v>
      </c>
      <c r="F84">
        <v>2830</v>
      </c>
      <c r="G84">
        <f t="shared" si="2"/>
        <v>0.7142857142857143</v>
      </c>
      <c r="I84">
        <f t="shared" si="3"/>
        <v>60</v>
      </c>
      <c r="K84" t="s">
        <v>412</v>
      </c>
    </row>
    <row r="85" spans="3:11" x14ac:dyDescent="0.25">
      <c r="C85">
        <v>90</v>
      </c>
      <c r="D85">
        <v>70</v>
      </c>
      <c r="E85">
        <v>20</v>
      </c>
      <c r="F85">
        <v>2159</v>
      </c>
      <c r="G85">
        <f t="shared" si="2"/>
        <v>0.7142857142857143</v>
      </c>
      <c r="I85">
        <f t="shared" si="3"/>
        <v>60</v>
      </c>
      <c r="K85" t="s">
        <v>413</v>
      </c>
    </row>
    <row r="86" spans="3:11" x14ac:dyDescent="0.25">
      <c r="C86">
        <v>90</v>
      </c>
      <c r="D86">
        <v>70</v>
      </c>
      <c r="E86">
        <v>20</v>
      </c>
      <c r="F86">
        <v>3088</v>
      </c>
      <c r="G86">
        <f t="shared" si="2"/>
        <v>0.7142857142857143</v>
      </c>
      <c r="I86">
        <f t="shared" si="3"/>
        <v>60</v>
      </c>
      <c r="K86" t="s">
        <v>414</v>
      </c>
    </row>
    <row r="87" spans="3:11" x14ac:dyDescent="0.25">
      <c r="C87">
        <v>90</v>
      </c>
      <c r="D87">
        <v>70</v>
      </c>
      <c r="E87">
        <v>20</v>
      </c>
      <c r="F87">
        <v>2519</v>
      </c>
      <c r="G87">
        <f t="shared" si="2"/>
        <v>0.7142857142857143</v>
      </c>
      <c r="I87">
        <f t="shared" si="3"/>
        <v>60</v>
      </c>
      <c r="K87" t="s">
        <v>415</v>
      </c>
    </row>
    <row r="88" spans="3:11" x14ac:dyDescent="0.25">
      <c r="C88">
        <v>90</v>
      </c>
      <c r="D88">
        <v>70</v>
      </c>
      <c r="E88">
        <v>20</v>
      </c>
      <c r="F88">
        <v>3602</v>
      </c>
      <c r="G88">
        <f t="shared" si="2"/>
        <v>0.7142857142857143</v>
      </c>
      <c r="I88">
        <f t="shared" si="3"/>
        <v>60</v>
      </c>
      <c r="K88" t="s">
        <v>416</v>
      </c>
    </row>
    <row r="89" spans="3:11" x14ac:dyDescent="0.25">
      <c r="C89">
        <v>90</v>
      </c>
      <c r="D89">
        <v>70</v>
      </c>
      <c r="E89">
        <v>20</v>
      </c>
      <c r="F89">
        <v>2878</v>
      </c>
      <c r="G89">
        <f t="shared" si="2"/>
        <v>0.7142857142857143</v>
      </c>
      <c r="I89">
        <f t="shared" si="3"/>
        <v>60</v>
      </c>
      <c r="K89" t="s">
        <v>417</v>
      </c>
    </row>
    <row r="90" spans="3:11" x14ac:dyDescent="0.25">
      <c r="C90">
        <v>90</v>
      </c>
      <c r="D90">
        <v>70</v>
      </c>
      <c r="E90">
        <v>20</v>
      </c>
      <c r="F90">
        <v>4117</v>
      </c>
      <c r="G90">
        <f t="shared" si="2"/>
        <v>0.7142857142857143</v>
      </c>
      <c r="I90">
        <f t="shared" si="3"/>
        <v>60</v>
      </c>
      <c r="K90" t="s">
        <v>418</v>
      </c>
    </row>
    <row r="91" spans="3:11" x14ac:dyDescent="0.25">
      <c r="C91">
        <v>90</v>
      </c>
      <c r="D91">
        <v>70</v>
      </c>
      <c r="E91">
        <v>20</v>
      </c>
      <c r="F91">
        <v>3238</v>
      </c>
      <c r="G91">
        <f t="shared" si="2"/>
        <v>0.7142857142857143</v>
      </c>
      <c r="I91">
        <f t="shared" si="3"/>
        <v>60</v>
      </c>
      <c r="K91" t="s">
        <v>419</v>
      </c>
    </row>
    <row r="92" spans="3:11" x14ac:dyDescent="0.25">
      <c r="C92">
        <v>90</v>
      </c>
      <c r="D92">
        <v>70</v>
      </c>
      <c r="E92">
        <v>20</v>
      </c>
      <c r="F92">
        <v>4632</v>
      </c>
      <c r="G92">
        <f t="shared" si="2"/>
        <v>0.7142857142857143</v>
      </c>
      <c r="I92">
        <f t="shared" si="3"/>
        <v>60</v>
      </c>
      <c r="K92" t="s">
        <v>420</v>
      </c>
    </row>
    <row r="93" spans="3:11" x14ac:dyDescent="0.25">
      <c r="C93">
        <v>90</v>
      </c>
      <c r="D93">
        <v>70</v>
      </c>
      <c r="E93">
        <v>20</v>
      </c>
      <c r="F93">
        <v>3598</v>
      </c>
      <c r="G93">
        <f t="shared" si="2"/>
        <v>0.7142857142857143</v>
      </c>
      <c r="I93">
        <f t="shared" si="3"/>
        <v>60</v>
      </c>
      <c r="K93" t="s">
        <v>421</v>
      </c>
    </row>
    <row r="94" spans="3:11" x14ac:dyDescent="0.25">
      <c r="C94">
        <v>90</v>
      </c>
      <c r="D94">
        <v>70</v>
      </c>
      <c r="E94">
        <v>20</v>
      </c>
      <c r="F94">
        <v>5146</v>
      </c>
      <c r="G94">
        <f t="shared" si="2"/>
        <v>0.7142857142857143</v>
      </c>
      <c r="I94">
        <f t="shared" si="3"/>
        <v>60</v>
      </c>
      <c r="K94" t="s">
        <v>422</v>
      </c>
    </row>
    <row r="95" spans="3:11" x14ac:dyDescent="0.25">
      <c r="C95">
        <v>90</v>
      </c>
      <c r="D95">
        <v>70</v>
      </c>
      <c r="E95">
        <v>20</v>
      </c>
      <c r="F95">
        <v>412</v>
      </c>
      <c r="G95">
        <f t="shared" si="2"/>
        <v>0.7142857142857143</v>
      </c>
      <c r="I95">
        <f t="shared" si="3"/>
        <v>60</v>
      </c>
      <c r="K95" t="s">
        <v>423</v>
      </c>
    </row>
    <row r="96" spans="3:11" x14ac:dyDescent="0.25">
      <c r="C96">
        <v>90</v>
      </c>
      <c r="D96">
        <v>70</v>
      </c>
      <c r="E96">
        <v>20</v>
      </c>
      <c r="F96">
        <v>539</v>
      </c>
      <c r="G96">
        <f t="shared" si="2"/>
        <v>0.7142857142857143</v>
      </c>
      <c r="I96">
        <f t="shared" si="3"/>
        <v>60</v>
      </c>
      <c r="K96" t="s">
        <v>424</v>
      </c>
    </row>
    <row r="97" spans="3:11" x14ac:dyDescent="0.25">
      <c r="C97">
        <v>90</v>
      </c>
      <c r="D97">
        <v>70</v>
      </c>
      <c r="E97">
        <v>20</v>
      </c>
      <c r="F97">
        <v>515</v>
      </c>
      <c r="G97">
        <f t="shared" si="2"/>
        <v>0.7142857142857143</v>
      </c>
      <c r="I97">
        <f t="shared" si="3"/>
        <v>60</v>
      </c>
      <c r="K97" t="s">
        <v>425</v>
      </c>
    </row>
    <row r="98" spans="3:11" x14ac:dyDescent="0.25">
      <c r="C98">
        <v>90</v>
      </c>
      <c r="D98">
        <v>70</v>
      </c>
      <c r="E98">
        <v>20</v>
      </c>
      <c r="F98">
        <v>674</v>
      </c>
      <c r="G98">
        <f t="shared" si="2"/>
        <v>0.7142857142857143</v>
      </c>
      <c r="I98">
        <f t="shared" si="3"/>
        <v>60</v>
      </c>
      <c r="K98" t="s">
        <v>426</v>
      </c>
    </row>
    <row r="99" spans="3:11" x14ac:dyDescent="0.25">
      <c r="C99">
        <v>90</v>
      </c>
      <c r="D99">
        <v>70</v>
      </c>
      <c r="E99">
        <v>20</v>
      </c>
      <c r="F99">
        <v>618</v>
      </c>
      <c r="G99">
        <f t="shared" si="2"/>
        <v>0.7142857142857143</v>
      </c>
      <c r="I99">
        <f t="shared" si="3"/>
        <v>60</v>
      </c>
      <c r="K99" t="s">
        <v>427</v>
      </c>
    </row>
    <row r="100" spans="3:11" x14ac:dyDescent="0.25">
      <c r="C100">
        <v>90</v>
      </c>
      <c r="D100">
        <v>70</v>
      </c>
      <c r="E100">
        <v>20</v>
      </c>
      <c r="F100">
        <v>809</v>
      </c>
      <c r="G100">
        <f t="shared" si="2"/>
        <v>0.7142857142857143</v>
      </c>
      <c r="I100">
        <f t="shared" si="3"/>
        <v>60</v>
      </c>
      <c r="K100" t="s">
        <v>428</v>
      </c>
    </row>
    <row r="101" spans="3:11" x14ac:dyDescent="0.25">
      <c r="C101">
        <v>90</v>
      </c>
      <c r="D101">
        <v>70</v>
      </c>
      <c r="E101">
        <v>20</v>
      </c>
      <c r="F101">
        <v>722</v>
      </c>
      <c r="G101">
        <f t="shared" si="2"/>
        <v>0.7142857142857143</v>
      </c>
      <c r="I101">
        <f t="shared" si="3"/>
        <v>60</v>
      </c>
      <c r="K101" t="s">
        <v>429</v>
      </c>
    </row>
    <row r="102" spans="3:11" x14ac:dyDescent="0.25">
      <c r="C102">
        <v>90</v>
      </c>
      <c r="D102">
        <v>70</v>
      </c>
      <c r="E102">
        <v>20</v>
      </c>
      <c r="F102">
        <v>944</v>
      </c>
      <c r="G102">
        <f t="shared" si="2"/>
        <v>0.7142857142857143</v>
      </c>
      <c r="I102">
        <f t="shared" si="3"/>
        <v>60</v>
      </c>
      <c r="K102" t="s">
        <v>430</v>
      </c>
    </row>
    <row r="103" spans="3:11" x14ac:dyDescent="0.25">
      <c r="C103">
        <v>90</v>
      </c>
      <c r="D103">
        <v>70</v>
      </c>
      <c r="E103">
        <v>20</v>
      </c>
      <c r="F103">
        <v>825</v>
      </c>
      <c r="G103">
        <f t="shared" si="2"/>
        <v>0.7142857142857143</v>
      </c>
      <c r="I103">
        <f t="shared" si="3"/>
        <v>60</v>
      </c>
      <c r="K103" t="s">
        <v>431</v>
      </c>
    </row>
    <row r="104" spans="3:11" x14ac:dyDescent="0.25">
      <c r="C104">
        <v>90</v>
      </c>
      <c r="D104">
        <v>70</v>
      </c>
      <c r="E104">
        <v>20</v>
      </c>
      <c r="F104">
        <v>1079</v>
      </c>
      <c r="G104">
        <f t="shared" si="2"/>
        <v>0.7142857142857143</v>
      </c>
      <c r="I104">
        <f t="shared" si="3"/>
        <v>60</v>
      </c>
      <c r="K104" t="s">
        <v>432</v>
      </c>
    </row>
    <row r="105" spans="3:11" x14ac:dyDescent="0.25">
      <c r="C105">
        <v>90</v>
      </c>
      <c r="D105">
        <v>70</v>
      </c>
      <c r="E105">
        <v>20</v>
      </c>
      <c r="F105">
        <v>928</v>
      </c>
      <c r="G105">
        <f t="shared" si="2"/>
        <v>0.7142857142857143</v>
      </c>
      <c r="I105">
        <f t="shared" si="3"/>
        <v>60</v>
      </c>
      <c r="K105" t="s">
        <v>433</v>
      </c>
    </row>
    <row r="106" spans="3:11" x14ac:dyDescent="0.25">
      <c r="C106">
        <v>90</v>
      </c>
      <c r="D106">
        <v>70</v>
      </c>
      <c r="E106">
        <v>20</v>
      </c>
      <c r="F106">
        <v>1213</v>
      </c>
      <c r="G106">
        <f t="shared" si="2"/>
        <v>0.7142857142857143</v>
      </c>
      <c r="I106">
        <f t="shared" si="3"/>
        <v>60</v>
      </c>
      <c r="K106" t="s">
        <v>434</v>
      </c>
    </row>
    <row r="107" spans="3:11" x14ac:dyDescent="0.25">
      <c r="C107">
        <v>90</v>
      </c>
      <c r="D107">
        <v>70</v>
      </c>
      <c r="E107">
        <v>20</v>
      </c>
      <c r="F107">
        <v>1031</v>
      </c>
      <c r="G107">
        <f t="shared" si="2"/>
        <v>0.7142857142857143</v>
      </c>
      <c r="I107">
        <f t="shared" si="3"/>
        <v>60</v>
      </c>
      <c r="K107" t="s">
        <v>435</v>
      </c>
    </row>
    <row r="108" spans="3:11" x14ac:dyDescent="0.25">
      <c r="C108">
        <v>90</v>
      </c>
      <c r="D108">
        <v>70</v>
      </c>
      <c r="E108">
        <v>20</v>
      </c>
      <c r="F108">
        <v>1348</v>
      </c>
      <c r="G108">
        <f t="shared" si="2"/>
        <v>0.7142857142857143</v>
      </c>
      <c r="I108">
        <f t="shared" si="3"/>
        <v>60</v>
      </c>
      <c r="K108" t="s">
        <v>436</v>
      </c>
    </row>
    <row r="109" spans="3:11" x14ac:dyDescent="0.25">
      <c r="C109">
        <v>90</v>
      </c>
      <c r="D109">
        <v>70</v>
      </c>
      <c r="E109">
        <v>20</v>
      </c>
      <c r="F109">
        <v>1134</v>
      </c>
      <c r="G109">
        <f t="shared" si="2"/>
        <v>0.7142857142857143</v>
      </c>
      <c r="I109">
        <f t="shared" si="3"/>
        <v>60</v>
      </c>
      <c r="K109" t="s">
        <v>437</v>
      </c>
    </row>
    <row r="110" spans="3:11" x14ac:dyDescent="0.25">
      <c r="C110">
        <v>90</v>
      </c>
      <c r="D110">
        <v>70</v>
      </c>
      <c r="E110">
        <v>20</v>
      </c>
      <c r="F110">
        <v>1483</v>
      </c>
      <c r="G110">
        <f t="shared" si="2"/>
        <v>0.7142857142857143</v>
      </c>
      <c r="I110">
        <f t="shared" si="3"/>
        <v>60</v>
      </c>
      <c r="K110" t="s">
        <v>438</v>
      </c>
    </row>
    <row r="111" spans="3:11" x14ac:dyDescent="0.25">
      <c r="C111">
        <v>90</v>
      </c>
      <c r="D111">
        <v>70</v>
      </c>
      <c r="E111">
        <v>20</v>
      </c>
      <c r="F111">
        <v>1237</v>
      </c>
      <c r="G111">
        <f t="shared" si="2"/>
        <v>0.7142857142857143</v>
      </c>
      <c r="I111">
        <f t="shared" si="3"/>
        <v>60</v>
      </c>
      <c r="K111" t="s">
        <v>439</v>
      </c>
    </row>
    <row r="112" spans="3:11" x14ac:dyDescent="0.25">
      <c r="C112">
        <v>90</v>
      </c>
      <c r="D112">
        <v>70</v>
      </c>
      <c r="E112">
        <v>20</v>
      </c>
      <c r="F112">
        <v>1618</v>
      </c>
      <c r="G112">
        <f t="shared" si="2"/>
        <v>0.7142857142857143</v>
      </c>
      <c r="I112">
        <f t="shared" si="3"/>
        <v>60</v>
      </c>
      <c r="K112" t="s">
        <v>440</v>
      </c>
    </row>
    <row r="113" spans="3:11" x14ac:dyDescent="0.25">
      <c r="C113">
        <v>90</v>
      </c>
      <c r="D113">
        <v>70</v>
      </c>
      <c r="E113">
        <v>20</v>
      </c>
      <c r="F113">
        <v>1443</v>
      </c>
      <c r="G113">
        <f t="shared" si="2"/>
        <v>0.7142857142857143</v>
      </c>
      <c r="I113">
        <f t="shared" si="3"/>
        <v>60</v>
      </c>
      <c r="K113" t="s">
        <v>441</v>
      </c>
    </row>
    <row r="114" spans="3:11" x14ac:dyDescent="0.25">
      <c r="C114">
        <v>90</v>
      </c>
      <c r="D114">
        <v>70</v>
      </c>
      <c r="E114">
        <v>20</v>
      </c>
      <c r="F114">
        <v>1888</v>
      </c>
      <c r="G114">
        <f t="shared" si="2"/>
        <v>0.7142857142857143</v>
      </c>
      <c r="I114">
        <f t="shared" si="3"/>
        <v>60</v>
      </c>
      <c r="K114" t="s">
        <v>442</v>
      </c>
    </row>
    <row r="115" spans="3:11" x14ac:dyDescent="0.25">
      <c r="C115">
        <v>90</v>
      </c>
      <c r="D115">
        <v>70</v>
      </c>
      <c r="E115">
        <v>20</v>
      </c>
      <c r="F115">
        <v>1649</v>
      </c>
      <c r="G115">
        <f t="shared" si="2"/>
        <v>0.7142857142857143</v>
      </c>
      <c r="I115">
        <f t="shared" si="3"/>
        <v>60</v>
      </c>
      <c r="K115" t="s">
        <v>443</v>
      </c>
    </row>
    <row r="116" spans="3:11" x14ac:dyDescent="0.25">
      <c r="C116">
        <v>90</v>
      </c>
      <c r="D116">
        <v>70</v>
      </c>
      <c r="E116">
        <v>20</v>
      </c>
      <c r="F116">
        <v>2157</v>
      </c>
      <c r="G116">
        <f t="shared" si="2"/>
        <v>0.7142857142857143</v>
      </c>
      <c r="I116">
        <f t="shared" si="3"/>
        <v>60</v>
      </c>
      <c r="K116" t="s">
        <v>444</v>
      </c>
    </row>
    <row r="117" spans="3:11" x14ac:dyDescent="0.25">
      <c r="C117">
        <v>90</v>
      </c>
      <c r="D117">
        <v>70</v>
      </c>
      <c r="E117">
        <v>20</v>
      </c>
      <c r="F117">
        <v>1855</v>
      </c>
      <c r="G117">
        <f t="shared" si="2"/>
        <v>0.7142857142857143</v>
      </c>
      <c r="I117">
        <f t="shared" si="3"/>
        <v>60</v>
      </c>
      <c r="K117" t="s">
        <v>445</v>
      </c>
    </row>
    <row r="118" spans="3:11" x14ac:dyDescent="0.25">
      <c r="C118">
        <v>90</v>
      </c>
      <c r="D118">
        <v>70</v>
      </c>
      <c r="E118">
        <v>20</v>
      </c>
      <c r="F118">
        <v>2427</v>
      </c>
      <c r="G118">
        <f t="shared" si="2"/>
        <v>0.7142857142857143</v>
      </c>
      <c r="I118">
        <f t="shared" si="3"/>
        <v>60</v>
      </c>
      <c r="K118" t="s">
        <v>446</v>
      </c>
    </row>
    <row r="119" spans="3:11" x14ac:dyDescent="0.25">
      <c r="C119">
        <v>90</v>
      </c>
      <c r="D119">
        <v>70</v>
      </c>
      <c r="E119">
        <v>20</v>
      </c>
      <c r="F119">
        <v>2062</v>
      </c>
      <c r="G119">
        <f t="shared" si="2"/>
        <v>0.7142857142857143</v>
      </c>
      <c r="I119">
        <f t="shared" si="3"/>
        <v>60</v>
      </c>
      <c r="K119" t="s">
        <v>447</v>
      </c>
    </row>
    <row r="120" spans="3:11" x14ac:dyDescent="0.25">
      <c r="C120">
        <v>90</v>
      </c>
      <c r="D120">
        <v>70</v>
      </c>
      <c r="E120">
        <v>20</v>
      </c>
      <c r="F120">
        <v>2696</v>
      </c>
      <c r="G120">
        <f t="shared" si="2"/>
        <v>0.7142857142857143</v>
      </c>
      <c r="I120">
        <f t="shared" si="3"/>
        <v>60</v>
      </c>
      <c r="K120" t="s">
        <v>448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7B643-AA7F-4608-9E39-E17D0B8A6D99}">
  <sheetPr codeName="Sheet17"/>
  <dimension ref="C2:N120"/>
  <sheetViews>
    <sheetView workbookViewId="0">
      <selection activeCell="C2" sqref="C2:F2"/>
    </sheetView>
  </sheetViews>
  <sheetFormatPr defaultRowHeight="15" x14ac:dyDescent="0.25"/>
  <sheetData>
    <row r="2" spans="3:14" x14ac:dyDescent="0.25">
      <c r="C2" t="s">
        <v>67</v>
      </c>
      <c r="D2" t="s">
        <v>68</v>
      </c>
      <c r="E2" t="s">
        <v>69</v>
      </c>
      <c r="F2" t="s">
        <v>70</v>
      </c>
      <c r="G2" t="s">
        <v>66</v>
      </c>
      <c r="I2" t="s">
        <v>5</v>
      </c>
      <c r="K2" t="s">
        <v>86</v>
      </c>
      <c r="N2" t="s">
        <v>93</v>
      </c>
    </row>
    <row r="3" spans="3:14" x14ac:dyDescent="0.25">
      <c r="C3">
        <v>90</v>
      </c>
      <c r="D3">
        <v>70</v>
      </c>
      <c r="E3">
        <v>20</v>
      </c>
      <c r="F3">
        <v>828</v>
      </c>
      <c r="G3">
        <f t="shared" ref="G3:G66" si="0">(D3-E3)/(C3-E3)</f>
        <v>0.7142857142857143</v>
      </c>
      <c r="I3">
        <f t="shared" ref="I3:I66" si="1">IF(G3&gt;=0.7,(C3+D3)/2-E3,(C3-D3)/(LN((C3-E3)/(D3-E3))))</f>
        <v>60</v>
      </c>
      <c r="K3" t="s">
        <v>449</v>
      </c>
      <c r="N3">
        <f>COUNT(G:G)</f>
        <v>118</v>
      </c>
    </row>
    <row r="4" spans="3:14" x14ac:dyDescent="0.25">
      <c r="C4">
        <v>90</v>
      </c>
      <c r="D4">
        <v>70</v>
      </c>
      <c r="E4">
        <v>20</v>
      </c>
      <c r="F4">
        <v>1072</v>
      </c>
      <c r="G4">
        <f t="shared" si="0"/>
        <v>0.7142857142857143</v>
      </c>
      <c r="I4">
        <f t="shared" si="1"/>
        <v>60</v>
      </c>
      <c r="K4" t="s">
        <v>450</v>
      </c>
    </row>
    <row r="5" spans="3:14" x14ac:dyDescent="0.25">
      <c r="C5">
        <v>90</v>
      </c>
      <c r="D5">
        <v>70</v>
      </c>
      <c r="E5">
        <v>20</v>
      </c>
      <c r="F5">
        <v>1743</v>
      </c>
      <c r="G5">
        <f t="shared" si="0"/>
        <v>0.7142857142857143</v>
      </c>
      <c r="I5">
        <f t="shared" si="1"/>
        <v>60</v>
      </c>
      <c r="K5" t="s">
        <v>451</v>
      </c>
    </row>
    <row r="6" spans="3:14" x14ac:dyDescent="0.25">
      <c r="C6">
        <v>90</v>
      </c>
      <c r="D6">
        <v>70</v>
      </c>
      <c r="E6">
        <v>20</v>
      </c>
      <c r="F6">
        <v>993</v>
      </c>
      <c r="G6">
        <f t="shared" si="0"/>
        <v>0.7142857142857143</v>
      </c>
      <c r="I6">
        <f t="shared" si="1"/>
        <v>60</v>
      </c>
      <c r="K6" t="s">
        <v>452</v>
      </c>
    </row>
    <row r="7" spans="3:14" x14ac:dyDescent="0.25">
      <c r="C7">
        <v>90</v>
      </c>
      <c r="D7">
        <v>70</v>
      </c>
      <c r="E7">
        <v>20</v>
      </c>
      <c r="F7">
        <v>1287</v>
      </c>
      <c r="G7">
        <f t="shared" si="0"/>
        <v>0.7142857142857143</v>
      </c>
      <c r="I7">
        <f t="shared" si="1"/>
        <v>60</v>
      </c>
      <c r="K7" t="s">
        <v>453</v>
      </c>
    </row>
    <row r="8" spans="3:14" x14ac:dyDescent="0.25">
      <c r="C8">
        <v>90</v>
      </c>
      <c r="D8">
        <v>70</v>
      </c>
      <c r="E8">
        <v>20</v>
      </c>
      <c r="F8">
        <v>2092</v>
      </c>
      <c r="G8">
        <f t="shared" si="0"/>
        <v>0.7142857142857143</v>
      </c>
      <c r="I8">
        <f t="shared" si="1"/>
        <v>60</v>
      </c>
      <c r="K8" t="s">
        <v>454</v>
      </c>
    </row>
    <row r="9" spans="3:14" x14ac:dyDescent="0.25">
      <c r="C9">
        <v>90</v>
      </c>
      <c r="D9">
        <v>70</v>
      </c>
      <c r="E9">
        <v>20</v>
      </c>
      <c r="F9">
        <v>1159</v>
      </c>
      <c r="G9">
        <f t="shared" si="0"/>
        <v>0.7142857142857143</v>
      </c>
      <c r="I9">
        <f t="shared" si="1"/>
        <v>60</v>
      </c>
      <c r="K9" t="s">
        <v>455</v>
      </c>
    </row>
    <row r="10" spans="3:14" x14ac:dyDescent="0.25">
      <c r="C10">
        <v>90</v>
      </c>
      <c r="D10">
        <v>70</v>
      </c>
      <c r="E10">
        <v>20</v>
      </c>
      <c r="F10">
        <v>1501</v>
      </c>
      <c r="G10">
        <f t="shared" si="0"/>
        <v>0.7142857142857143</v>
      </c>
      <c r="I10">
        <f t="shared" si="1"/>
        <v>60</v>
      </c>
      <c r="K10" t="s">
        <v>456</v>
      </c>
    </row>
    <row r="11" spans="3:14" x14ac:dyDescent="0.25">
      <c r="C11">
        <v>90</v>
      </c>
      <c r="D11">
        <v>70</v>
      </c>
      <c r="E11">
        <v>20</v>
      </c>
      <c r="F11">
        <v>2440</v>
      </c>
      <c r="G11">
        <f t="shared" si="0"/>
        <v>0.7142857142857143</v>
      </c>
      <c r="I11">
        <f t="shared" si="1"/>
        <v>60</v>
      </c>
      <c r="K11" t="s">
        <v>457</v>
      </c>
    </row>
    <row r="12" spans="3:14" x14ac:dyDescent="0.25">
      <c r="C12">
        <v>90</v>
      </c>
      <c r="D12">
        <v>70</v>
      </c>
      <c r="E12">
        <v>20</v>
      </c>
      <c r="F12">
        <v>1324</v>
      </c>
      <c r="G12">
        <f t="shared" si="0"/>
        <v>0.7142857142857143</v>
      </c>
      <c r="I12">
        <f t="shared" si="1"/>
        <v>60</v>
      </c>
      <c r="K12" t="s">
        <v>458</v>
      </c>
    </row>
    <row r="13" spans="3:14" x14ac:dyDescent="0.25">
      <c r="C13">
        <v>90</v>
      </c>
      <c r="D13">
        <v>70</v>
      </c>
      <c r="E13">
        <v>20</v>
      </c>
      <c r="F13">
        <v>1716</v>
      </c>
      <c r="G13">
        <f t="shared" si="0"/>
        <v>0.7142857142857143</v>
      </c>
      <c r="I13">
        <f t="shared" si="1"/>
        <v>60</v>
      </c>
      <c r="K13" t="s">
        <v>459</v>
      </c>
    </row>
    <row r="14" spans="3:14" x14ac:dyDescent="0.25">
      <c r="C14">
        <v>90</v>
      </c>
      <c r="D14">
        <v>70</v>
      </c>
      <c r="E14">
        <v>20</v>
      </c>
      <c r="F14">
        <v>2464</v>
      </c>
      <c r="G14">
        <f t="shared" si="0"/>
        <v>0.7142857142857143</v>
      </c>
      <c r="I14">
        <f t="shared" si="1"/>
        <v>60</v>
      </c>
      <c r="K14" t="s">
        <v>460</v>
      </c>
    </row>
    <row r="15" spans="3:14" x14ac:dyDescent="0.25">
      <c r="C15">
        <v>90</v>
      </c>
      <c r="D15">
        <v>70</v>
      </c>
      <c r="E15">
        <v>20</v>
      </c>
      <c r="F15">
        <v>1490</v>
      </c>
      <c r="G15">
        <f t="shared" si="0"/>
        <v>0.7142857142857143</v>
      </c>
      <c r="I15">
        <f t="shared" si="1"/>
        <v>60</v>
      </c>
      <c r="K15" t="s">
        <v>461</v>
      </c>
    </row>
    <row r="16" spans="3:14" x14ac:dyDescent="0.25">
      <c r="C16">
        <v>90</v>
      </c>
      <c r="D16">
        <v>70</v>
      </c>
      <c r="E16">
        <v>20</v>
      </c>
      <c r="F16">
        <v>1930</v>
      </c>
      <c r="G16">
        <f t="shared" si="0"/>
        <v>0.7142857142857143</v>
      </c>
      <c r="I16">
        <f t="shared" si="1"/>
        <v>60</v>
      </c>
      <c r="K16" t="s">
        <v>462</v>
      </c>
    </row>
    <row r="17" spans="3:11" x14ac:dyDescent="0.25">
      <c r="C17">
        <v>90</v>
      </c>
      <c r="D17">
        <v>70</v>
      </c>
      <c r="E17">
        <v>20</v>
      </c>
      <c r="F17">
        <v>2772</v>
      </c>
      <c r="G17">
        <f t="shared" si="0"/>
        <v>0.7142857142857143</v>
      </c>
      <c r="I17">
        <f t="shared" si="1"/>
        <v>60</v>
      </c>
      <c r="K17" t="s">
        <v>463</v>
      </c>
    </row>
    <row r="18" spans="3:11" x14ac:dyDescent="0.25">
      <c r="C18">
        <v>90</v>
      </c>
      <c r="D18">
        <v>70</v>
      </c>
      <c r="E18">
        <v>20</v>
      </c>
      <c r="F18">
        <v>1655</v>
      </c>
      <c r="G18">
        <f t="shared" si="0"/>
        <v>0.7142857142857143</v>
      </c>
      <c r="I18">
        <f t="shared" si="1"/>
        <v>60</v>
      </c>
      <c r="K18" t="s">
        <v>464</v>
      </c>
    </row>
    <row r="19" spans="3:11" x14ac:dyDescent="0.25">
      <c r="C19">
        <v>90</v>
      </c>
      <c r="D19">
        <v>70</v>
      </c>
      <c r="E19">
        <v>20</v>
      </c>
      <c r="F19">
        <v>2145</v>
      </c>
      <c r="G19">
        <f t="shared" si="0"/>
        <v>0.7142857142857143</v>
      </c>
      <c r="I19">
        <f t="shared" si="1"/>
        <v>60</v>
      </c>
      <c r="K19" t="s">
        <v>465</v>
      </c>
    </row>
    <row r="20" spans="3:11" x14ac:dyDescent="0.25">
      <c r="C20">
        <v>90</v>
      </c>
      <c r="D20">
        <v>70</v>
      </c>
      <c r="E20">
        <v>20</v>
      </c>
      <c r="F20">
        <v>3080</v>
      </c>
      <c r="G20">
        <f t="shared" si="0"/>
        <v>0.7142857142857143</v>
      </c>
      <c r="I20">
        <f t="shared" si="1"/>
        <v>60</v>
      </c>
      <c r="K20" t="s">
        <v>466</v>
      </c>
    </row>
    <row r="21" spans="3:11" x14ac:dyDescent="0.25">
      <c r="C21">
        <v>90</v>
      </c>
      <c r="D21">
        <v>70</v>
      </c>
      <c r="E21">
        <v>20</v>
      </c>
      <c r="F21">
        <v>1821</v>
      </c>
      <c r="G21">
        <f t="shared" si="0"/>
        <v>0.7142857142857143</v>
      </c>
      <c r="I21">
        <f t="shared" si="1"/>
        <v>60</v>
      </c>
      <c r="K21" t="s">
        <v>467</v>
      </c>
    </row>
    <row r="22" spans="3:11" x14ac:dyDescent="0.25">
      <c r="C22">
        <v>90</v>
      </c>
      <c r="D22">
        <v>70</v>
      </c>
      <c r="E22">
        <v>20</v>
      </c>
      <c r="F22">
        <v>2359</v>
      </c>
      <c r="G22">
        <f t="shared" si="0"/>
        <v>0.7142857142857143</v>
      </c>
      <c r="I22">
        <f t="shared" si="1"/>
        <v>60</v>
      </c>
      <c r="K22" t="s">
        <v>468</v>
      </c>
    </row>
    <row r="23" spans="3:11" x14ac:dyDescent="0.25">
      <c r="C23">
        <v>90</v>
      </c>
      <c r="D23">
        <v>70</v>
      </c>
      <c r="E23">
        <v>20</v>
      </c>
      <c r="F23">
        <v>3389</v>
      </c>
      <c r="G23">
        <f t="shared" si="0"/>
        <v>0.7142857142857143</v>
      </c>
      <c r="I23">
        <f t="shared" si="1"/>
        <v>60</v>
      </c>
      <c r="K23" t="s">
        <v>469</v>
      </c>
    </row>
    <row r="24" spans="3:11" x14ac:dyDescent="0.25">
      <c r="C24">
        <v>90</v>
      </c>
      <c r="D24">
        <v>70</v>
      </c>
      <c r="E24">
        <v>20</v>
      </c>
      <c r="F24">
        <v>1986</v>
      </c>
      <c r="G24">
        <f t="shared" si="0"/>
        <v>0.7142857142857143</v>
      </c>
      <c r="I24">
        <f t="shared" si="1"/>
        <v>60</v>
      </c>
      <c r="K24" t="s">
        <v>470</v>
      </c>
    </row>
    <row r="25" spans="3:11" x14ac:dyDescent="0.25">
      <c r="C25">
        <v>90</v>
      </c>
      <c r="D25">
        <v>70</v>
      </c>
      <c r="E25">
        <v>20</v>
      </c>
      <c r="F25">
        <v>2574</v>
      </c>
      <c r="G25">
        <f t="shared" si="0"/>
        <v>0.7142857142857143</v>
      </c>
      <c r="I25">
        <f t="shared" si="1"/>
        <v>60</v>
      </c>
      <c r="K25" t="s">
        <v>471</v>
      </c>
    </row>
    <row r="26" spans="3:11" x14ac:dyDescent="0.25">
      <c r="C26">
        <v>90</v>
      </c>
      <c r="D26">
        <v>70</v>
      </c>
      <c r="E26">
        <v>20</v>
      </c>
      <c r="F26">
        <v>3697</v>
      </c>
      <c r="G26">
        <f t="shared" si="0"/>
        <v>0.7142857142857143</v>
      </c>
      <c r="I26">
        <f t="shared" si="1"/>
        <v>60</v>
      </c>
      <c r="K26" t="s">
        <v>472</v>
      </c>
    </row>
    <row r="27" spans="3:11" x14ac:dyDescent="0.25">
      <c r="C27">
        <v>90</v>
      </c>
      <c r="D27">
        <v>70</v>
      </c>
      <c r="E27">
        <v>20</v>
      </c>
      <c r="F27">
        <v>2318</v>
      </c>
      <c r="G27">
        <f t="shared" si="0"/>
        <v>0.7142857142857143</v>
      </c>
      <c r="I27">
        <f t="shared" si="1"/>
        <v>60</v>
      </c>
      <c r="K27" t="s">
        <v>473</v>
      </c>
    </row>
    <row r="28" spans="3:11" x14ac:dyDescent="0.25">
      <c r="C28">
        <v>90</v>
      </c>
      <c r="D28">
        <v>70</v>
      </c>
      <c r="E28">
        <v>20</v>
      </c>
      <c r="F28">
        <v>3003</v>
      </c>
      <c r="G28">
        <f t="shared" si="0"/>
        <v>0.7142857142857143</v>
      </c>
      <c r="I28">
        <f t="shared" si="1"/>
        <v>60</v>
      </c>
      <c r="K28" t="s">
        <v>474</v>
      </c>
    </row>
    <row r="29" spans="3:11" x14ac:dyDescent="0.25">
      <c r="C29">
        <v>90</v>
      </c>
      <c r="D29">
        <v>70</v>
      </c>
      <c r="E29">
        <v>20</v>
      </c>
      <c r="F29">
        <v>4313</v>
      </c>
      <c r="G29">
        <f t="shared" si="0"/>
        <v>0.7142857142857143</v>
      </c>
      <c r="I29">
        <f t="shared" si="1"/>
        <v>60</v>
      </c>
      <c r="K29" t="s">
        <v>475</v>
      </c>
    </row>
    <row r="30" spans="3:11" x14ac:dyDescent="0.25">
      <c r="C30">
        <v>90</v>
      </c>
      <c r="D30">
        <v>70</v>
      </c>
      <c r="E30">
        <v>20</v>
      </c>
      <c r="F30">
        <v>2649</v>
      </c>
      <c r="G30">
        <f t="shared" si="0"/>
        <v>0.7142857142857143</v>
      </c>
      <c r="I30">
        <f t="shared" si="1"/>
        <v>60</v>
      </c>
      <c r="K30" t="s">
        <v>476</v>
      </c>
    </row>
    <row r="31" spans="3:11" x14ac:dyDescent="0.25">
      <c r="C31">
        <v>90</v>
      </c>
      <c r="D31">
        <v>70</v>
      </c>
      <c r="E31">
        <v>20</v>
      </c>
      <c r="F31">
        <v>3432</v>
      </c>
      <c r="G31">
        <f t="shared" si="0"/>
        <v>0.7142857142857143</v>
      </c>
      <c r="I31">
        <f t="shared" si="1"/>
        <v>60</v>
      </c>
      <c r="K31" t="s">
        <v>477</v>
      </c>
    </row>
    <row r="32" spans="3:11" x14ac:dyDescent="0.25">
      <c r="C32">
        <v>90</v>
      </c>
      <c r="D32">
        <v>70</v>
      </c>
      <c r="E32">
        <v>20</v>
      </c>
      <c r="F32">
        <v>4929</v>
      </c>
      <c r="G32">
        <f t="shared" si="0"/>
        <v>0.7142857142857143</v>
      </c>
      <c r="I32">
        <f t="shared" si="1"/>
        <v>60</v>
      </c>
      <c r="K32" t="s">
        <v>478</v>
      </c>
    </row>
    <row r="33" spans="3:11" x14ac:dyDescent="0.25">
      <c r="C33">
        <v>90</v>
      </c>
      <c r="D33">
        <v>70</v>
      </c>
      <c r="E33">
        <v>20</v>
      </c>
      <c r="F33">
        <v>2980</v>
      </c>
      <c r="G33">
        <f t="shared" si="0"/>
        <v>0.7142857142857143</v>
      </c>
      <c r="I33">
        <f t="shared" si="1"/>
        <v>60</v>
      </c>
      <c r="K33" t="s">
        <v>479</v>
      </c>
    </row>
    <row r="34" spans="3:11" x14ac:dyDescent="0.25">
      <c r="C34">
        <v>90</v>
      </c>
      <c r="D34">
        <v>70</v>
      </c>
      <c r="E34">
        <v>20</v>
      </c>
      <c r="F34">
        <v>3861</v>
      </c>
      <c r="G34">
        <f t="shared" si="0"/>
        <v>0.7142857142857143</v>
      </c>
      <c r="I34">
        <f t="shared" si="1"/>
        <v>60</v>
      </c>
      <c r="K34" t="s">
        <v>480</v>
      </c>
    </row>
    <row r="35" spans="3:11" x14ac:dyDescent="0.25">
      <c r="C35">
        <v>90</v>
      </c>
      <c r="D35">
        <v>70</v>
      </c>
      <c r="E35">
        <v>20</v>
      </c>
      <c r="F35">
        <v>5545</v>
      </c>
      <c r="G35">
        <f t="shared" si="0"/>
        <v>0.7142857142857143</v>
      </c>
      <c r="I35">
        <f t="shared" si="1"/>
        <v>60</v>
      </c>
      <c r="K35" t="s">
        <v>481</v>
      </c>
    </row>
    <row r="36" spans="3:11" x14ac:dyDescent="0.25">
      <c r="C36">
        <v>90</v>
      </c>
      <c r="D36">
        <v>70</v>
      </c>
      <c r="E36">
        <v>20</v>
      </c>
      <c r="F36">
        <v>3311</v>
      </c>
      <c r="G36">
        <f t="shared" si="0"/>
        <v>0.7142857142857143</v>
      </c>
      <c r="I36">
        <f t="shared" si="1"/>
        <v>60</v>
      </c>
      <c r="K36" t="s">
        <v>482</v>
      </c>
    </row>
    <row r="37" spans="3:11" x14ac:dyDescent="0.25">
      <c r="C37">
        <v>90</v>
      </c>
      <c r="D37">
        <v>70</v>
      </c>
      <c r="E37">
        <v>20</v>
      </c>
      <c r="F37">
        <v>4290</v>
      </c>
      <c r="G37">
        <f t="shared" si="0"/>
        <v>0.7142857142857143</v>
      </c>
      <c r="I37">
        <f t="shared" si="1"/>
        <v>60</v>
      </c>
      <c r="K37" t="s">
        <v>483</v>
      </c>
    </row>
    <row r="38" spans="3:11" x14ac:dyDescent="0.25">
      <c r="C38">
        <v>90</v>
      </c>
      <c r="D38">
        <v>70</v>
      </c>
      <c r="E38">
        <v>20</v>
      </c>
      <c r="F38">
        <v>6161</v>
      </c>
      <c r="G38">
        <f t="shared" si="0"/>
        <v>0.7142857142857143</v>
      </c>
      <c r="I38">
        <f t="shared" si="1"/>
        <v>60</v>
      </c>
      <c r="K38" t="s">
        <v>484</v>
      </c>
    </row>
    <row r="39" spans="3:11" x14ac:dyDescent="0.25">
      <c r="C39">
        <v>90</v>
      </c>
      <c r="D39">
        <v>70</v>
      </c>
      <c r="E39">
        <v>20</v>
      </c>
      <c r="F39">
        <v>3807</v>
      </c>
      <c r="G39">
        <f t="shared" si="0"/>
        <v>0.7142857142857143</v>
      </c>
      <c r="I39">
        <f t="shared" si="1"/>
        <v>60</v>
      </c>
      <c r="K39" t="s">
        <v>485</v>
      </c>
    </row>
    <row r="40" spans="3:11" x14ac:dyDescent="0.25">
      <c r="C40">
        <v>90</v>
      </c>
      <c r="D40">
        <v>70</v>
      </c>
      <c r="E40">
        <v>20</v>
      </c>
      <c r="F40">
        <v>4933</v>
      </c>
      <c r="G40">
        <f t="shared" si="0"/>
        <v>0.7142857142857143</v>
      </c>
      <c r="I40">
        <f t="shared" si="1"/>
        <v>60</v>
      </c>
      <c r="K40" t="s">
        <v>486</v>
      </c>
    </row>
    <row r="41" spans="3:11" x14ac:dyDescent="0.25">
      <c r="C41">
        <v>90</v>
      </c>
      <c r="D41">
        <v>70</v>
      </c>
      <c r="E41">
        <v>20</v>
      </c>
      <c r="F41">
        <v>5577</v>
      </c>
      <c r="G41">
        <f t="shared" si="0"/>
        <v>0.7142857142857143</v>
      </c>
      <c r="I41">
        <f t="shared" si="1"/>
        <v>60</v>
      </c>
      <c r="K41" t="s">
        <v>487</v>
      </c>
    </row>
    <row r="42" spans="3:11" x14ac:dyDescent="0.25">
      <c r="C42">
        <v>90</v>
      </c>
      <c r="D42">
        <v>70</v>
      </c>
      <c r="E42">
        <v>20</v>
      </c>
      <c r="F42">
        <v>6434</v>
      </c>
      <c r="G42">
        <f t="shared" si="0"/>
        <v>0.7142857142857143</v>
      </c>
      <c r="I42">
        <f t="shared" si="1"/>
        <v>60</v>
      </c>
      <c r="K42" t="s">
        <v>488</v>
      </c>
    </row>
    <row r="43" spans="3:11" x14ac:dyDescent="0.25">
      <c r="C43">
        <v>90</v>
      </c>
      <c r="D43">
        <v>70</v>
      </c>
      <c r="E43">
        <v>20</v>
      </c>
      <c r="F43">
        <v>480</v>
      </c>
      <c r="G43">
        <f t="shared" si="0"/>
        <v>0.7142857142857143</v>
      </c>
      <c r="I43">
        <f t="shared" si="1"/>
        <v>60</v>
      </c>
      <c r="K43" t="s">
        <v>489</v>
      </c>
    </row>
    <row r="44" spans="3:11" x14ac:dyDescent="0.25">
      <c r="C44">
        <v>90</v>
      </c>
      <c r="D44">
        <v>70</v>
      </c>
      <c r="E44">
        <v>20</v>
      </c>
      <c r="F44">
        <v>622</v>
      </c>
      <c r="G44">
        <f t="shared" si="0"/>
        <v>0.7142857142857143</v>
      </c>
      <c r="I44">
        <f t="shared" si="1"/>
        <v>60</v>
      </c>
      <c r="K44" t="s">
        <v>490</v>
      </c>
    </row>
    <row r="45" spans="3:11" x14ac:dyDescent="0.25">
      <c r="C45">
        <v>90</v>
      </c>
      <c r="D45">
        <v>70</v>
      </c>
      <c r="E45">
        <v>20</v>
      </c>
      <c r="F45">
        <v>600</v>
      </c>
      <c r="G45">
        <f t="shared" si="0"/>
        <v>0.7142857142857143</v>
      </c>
      <c r="I45">
        <f t="shared" si="1"/>
        <v>60</v>
      </c>
      <c r="K45" t="s">
        <v>491</v>
      </c>
    </row>
    <row r="46" spans="3:11" x14ac:dyDescent="0.25">
      <c r="C46">
        <v>90</v>
      </c>
      <c r="D46">
        <v>70</v>
      </c>
      <c r="E46">
        <v>20</v>
      </c>
      <c r="F46">
        <v>778</v>
      </c>
      <c r="G46">
        <f t="shared" si="0"/>
        <v>0.7142857142857143</v>
      </c>
      <c r="I46">
        <f t="shared" si="1"/>
        <v>60</v>
      </c>
      <c r="K46" t="s">
        <v>492</v>
      </c>
    </row>
    <row r="47" spans="3:11" x14ac:dyDescent="0.25">
      <c r="C47">
        <v>90</v>
      </c>
      <c r="D47">
        <v>70</v>
      </c>
      <c r="E47">
        <v>20</v>
      </c>
      <c r="F47">
        <v>721</v>
      </c>
      <c r="G47">
        <f t="shared" si="0"/>
        <v>0.7142857142857143</v>
      </c>
      <c r="I47">
        <f t="shared" si="1"/>
        <v>60</v>
      </c>
      <c r="K47" t="s">
        <v>493</v>
      </c>
    </row>
    <row r="48" spans="3:11" x14ac:dyDescent="0.25">
      <c r="C48">
        <v>90</v>
      </c>
      <c r="D48">
        <v>70</v>
      </c>
      <c r="E48">
        <v>20</v>
      </c>
      <c r="F48">
        <v>933</v>
      </c>
      <c r="G48">
        <f t="shared" si="0"/>
        <v>0.7142857142857143</v>
      </c>
      <c r="I48">
        <f t="shared" si="1"/>
        <v>60</v>
      </c>
      <c r="K48" t="s">
        <v>494</v>
      </c>
    </row>
    <row r="49" spans="3:11" x14ac:dyDescent="0.25">
      <c r="C49">
        <v>90</v>
      </c>
      <c r="D49">
        <v>70</v>
      </c>
      <c r="E49">
        <v>20</v>
      </c>
      <c r="F49">
        <v>841</v>
      </c>
      <c r="G49">
        <f t="shared" si="0"/>
        <v>0.7142857142857143</v>
      </c>
      <c r="I49">
        <f t="shared" si="1"/>
        <v>60</v>
      </c>
      <c r="K49" t="s">
        <v>495</v>
      </c>
    </row>
    <row r="50" spans="3:11" x14ac:dyDescent="0.25">
      <c r="C50">
        <v>90</v>
      </c>
      <c r="D50">
        <v>70</v>
      </c>
      <c r="E50">
        <v>20</v>
      </c>
      <c r="F50">
        <v>1089</v>
      </c>
      <c r="G50">
        <f t="shared" si="0"/>
        <v>0.7142857142857143</v>
      </c>
      <c r="I50">
        <f t="shared" si="1"/>
        <v>60</v>
      </c>
      <c r="K50" t="s">
        <v>496</v>
      </c>
    </row>
    <row r="51" spans="3:11" x14ac:dyDescent="0.25">
      <c r="C51">
        <v>90</v>
      </c>
      <c r="D51">
        <v>70</v>
      </c>
      <c r="E51">
        <v>20</v>
      </c>
      <c r="F51">
        <v>961</v>
      </c>
      <c r="G51">
        <f t="shared" si="0"/>
        <v>0.7142857142857143</v>
      </c>
      <c r="I51">
        <f t="shared" si="1"/>
        <v>60</v>
      </c>
      <c r="K51" t="s">
        <v>497</v>
      </c>
    </row>
    <row r="52" spans="3:11" x14ac:dyDescent="0.25">
      <c r="C52">
        <v>90</v>
      </c>
      <c r="D52">
        <v>70</v>
      </c>
      <c r="E52">
        <v>20</v>
      </c>
      <c r="F52">
        <v>1244</v>
      </c>
      <c r="G52">
        <f t="shared" si="0"/>
        <v>0.7142857142857143</v>
      </c>
      <c r="I52">
        <f t="shared" si="1"/>
        <v>60</v>
      </c>
      <c r="K52" t="s">
        <v>498</v>
      </c>
    </row>
    <row r="53" spans="3:11" x14ac:dyDescent="0.25">
      <c r="C53">
        <v>90</v>
      </c>
      <c r="D53">
        <v>70</v>
      </c>
      <c r="E53">
        <v>20</v>
      </c>
      <c r="F53">
        <v>1081</v>
      </c>
      <c r="G53">
        <f t="shared" si="0"/>
        <v>0.7142857142857143</v>
      </c>
      <c r="I53">
        <f t="shared" si="1"/>
        <v>60</v>
      </c>
      <c r="K53" t="s">
        <v>499</v>
      </c>
    </row>
    <row r="54" spans="3:11" x14ac:dyDescent="0.25">
      <c r="C54">
        <v>90</v>
      </c>
      <c r="D54">
        <v>70</v>
      </c>
      <c r="E54">
        <v>20</v>
      </c>
      <c r="F54">
        <v>1400</v>
      </c>
      <c r="G54">
        <f t="shared" si="0"/>
        <v>0.7142857142857143</v>
      </c>
      <c r="I54">
        <f t="shared" si="1"/>
        <v>60</v>
      </c>
      <c r="K54" t="s">
        <v>500</v>
      </c>
    </row>
    <row r="55" spans="3:11" x14ac:dyDescent="0.25">
      <c r="C55">
        <v>90</v>
      </c>
      <c r="D55">
        <v>70</v>
      </c>
      <c r="E55">
        <v>20</v>
      </c>
      <c r="F55">
        <v>1201</v>
      </c>
      <c r="G55">
        <f t="shared" si="0"/>
        <v>0.7142857142857143</v>
      </c>
      <c r="I55">
        <f t="shared" si="1"/>
        <v>60</v>
      </c>
      <c r="K55" t="s">
        <v>501</v>
      </c>
    </row>
    <row r="56" spans="3:11" x14ac:dyDescent="0.25">
      <c r="C56">
        <v>90</v>
      </c>
      <c r="D56">
        <v>70</v>
      </c>
      <c r="E56">
        <v>20</v>
      </c>
      <c r="F56">
        <v>1556</v>
      </c>
      <c r="G56">
        <f t="shared" si="0"/>
        <v>0.7142857142857143</v>
      </c>
      <c r="I56">
        <f t="shared" si="1"/>
        <v>60</v>
      </c>
      <c r="K56" t="s">
        <v>502</v>
      </c>
    </row>
    <row r="57" spans="3:11" x14ac:dyDescent="0.25">
      <c r="C57">
        <v>90</v>
      </c>
      <c r="D57">
        <v>70</v>
      </c>
      <c r="E57">
        <v>20</v>
      </c>
      <c r="F57">
        <v>1321</v>
      </c>
      <c r="G57">
        <f t="shared" si="0"/>
        <v>0.7142857142857143</v>
      </c>
      <c r="I57">
        <f t="shared" si="1"/>
        <v>60</v>
      </c>
      <c r="K57" t="s">
        <v>503</v>
      </c>
    </row>
    <row r="58" spans="3:11" x14ac:dyDescent="0.25">
      <c r="C58">
        <v>90</v>
      </c>
      <c r="D58">
        <v>70</v>
      </c>
      <c r="E58">
        <v>20</v>
      </c>
      <c r="F58">
        <v>1711</v>
      </c>
      <c r="G58">
        <f t="shared" si="0"/>
        <v>0.7142857142857143</v>
      </c>
      <c r="I58">
        <f t="shared" si="1"/>
        <v>60</v>
      </c>
      <c r="K58" t="s">
        <v>504</v>
      </c>
    </row>
    <row r="59" spans="3:11" x14ac:dyDescent="0.25">
      <c r="C59">
        <v>90</v>
      </c>
      <c r="D59">
        <v>70</v>
      </c>
      <c r="E59">
        <v>20</v>
      </c>
      <c r="F59">
        <v>1441</v>
      </c>
      <c r="G59">
        <f t="shared" si="0"/>
        <v>0.7142857142857143</v>
      </c>
      <c r="I59">
        <f t="shared" si="1"/>
        <v>60</v>
      </c>
      <c r="K59" t="s">
        <v>505</v>
      </c>
    </row>
    <row r="60" spans="3:11" x14ac:dyDescent="0.25">
      <c r="C60">
        <v>90</v>
      </c>
      <c r="D60">
        <v>70</v>
      </c>
      <c r="E60">
        <v>20</v>
      </c>
      <c r="F60">
        <v>1867</v>
      </c>
      <c r="G60">
        <f t="shared" si="0"/>
        <v>0.7142857142857143</v>
      </c>
      <c r="I60">
        <f t="shared" si="1"/>
        <v>60</v>
      </c>
      <c r="K60" t="s">
        <v>506</v>
      </c>
    </row>
    <row r="61" spans="3:11" x14ac:dyDescent="0.25">
      <c r="C61">
        <v>90</v>
      </c>
      <c r="D61">
        <v>70</v>
      </c>
      <c r="E61">
        <v>20</v>
      </c>
      <c r="F61">
        <v>1681</v>
      </c>
      <c r="G61">
        <f t="shared" si="0"/>
        <v>0.7142857142857143</v>
      </c>
      <c r="I61">
        <f t="shared" si="1"/>
        <v>60</v>
      </c>
      <c r="K61" t="s">
        <v>507</v>
      </c>
    </row>
    <row r="62" spans="3:11" x14ac:dyDescent="0.25">
      <c r="C62">
        <v>90</v>
      </c>
      <c r="D62">
        <v>70</v>
      </c>
      <c r="E62">
        <v>20</v>
      </c>
      <c r="F62">
        <v>2178</v>
      </c>
      <c r="G62">
        <f t="shared" si="0"/>
        <v>0.7142857142857143</v>
      </c>
      <c r="I62">
        <f t="shared" si="1"/>
        <v>60</v>
      </c>
      <c r="K62" t="s">
        <v>508</v>
      </c>
    </row>
    <row r="63" spans="3:11" x14ac:dyDescent="0.25">
      <c r="C63">
        <v>90</v>
      </c>
      <c r="D63">
        <v>70</v>
      </c>
      <c r="E63">
        <v>20</v>
      </c>
      <c r="F63">
        <v>1921</v>
      </c>
      <c r="G63">
        <f t="shared" si="0"/>
        <v>0.7142857142857143</v>
      </c>
      <c r="I63">
        <f t="shared" si="1"/>
        <v>60</v>
      </c>
      <c r="K63" t="s">
        <v>509</v>
      </c>
    </row>
    <row r="64" spans="3:11" x14ac:dyDescent="0.25">
      <c r="C64">
        <v>90</v>
      </c>
      <c r="D64">
        <v>70</v>
      </c>
      <c r="E64">
        <v>20</v>
      </c>
      <c r="F64">
        <v>2489</v>
      </c>
      <c r="G64">
        <f t="shared" si="0"/>
        <v>0.7142857142857143</v>
      </c>
      <c r="I64">
        <f t="shared" si="1"/>
        <v>60</v>
      </c>
      <c r="K64" t="s">
        <v>510</v>
      </c>
    </row>
    <row r="65" spans="3:11" x14ac:dyDescent="0.25">
      <c r="C65">
        <v>90</v>
      </c>
      <c r="D65">
        <v>70</v>
      </c>
      <c r="E65">
        <v>20</v>
      </c>
      <c r="F65">
        <v>2162</v>
      </c>
      <c r="G65">
        <f t="shared" si="0"/>
        <v>0.7142857142857143</v>
      </c>
      <c r="I65">
        <f t="shared" si="1"/>
        <v>60</v>
      </c>
      <c r="K65" t="s">
        <v>511</v>
      </c>
    </row>
    <row r="66" spans="3:11" x14ac:dyDescent="0.25">
      <c r="C66">
        <v>90</v>
      </c>
      <c r="D66">
        <v>70</v>
      </c>
      <c r="E66">
        <v>20</v>
      </c>
      <c r="F66">
        <v>2800</v>
      </c>
      <c r="G66">
        <f t="shared" si="0"/>
        <v>0.7142857142857143</v>
      </c>
      <c r="I66">
        <f t="shared" si="1"/>
        <v>60</v>
      </c>
      <c r="K66" t="s">
        <v>512</v>
      </c>
    </row>
    <row r="67" spans="3:11" x14ac:dyDescent="0.25">
      <c r="C67">
        <v>90</v>
      </c>
      <c r="D67">
        <v>70</v>
      </c>
      <c r="E67">
        <v>20</v>
      </c>
      <c r="F67">
        <v>2402</v>
      </c>
      <c r="G67">
        <f t="shared" ref="G67:G120" si="2">(D67-E67)/(C67-E67)</f>
        <v>0.7142857142857143</v>
      </c>
      <c r="I67">
        <f t="shared" ref="I67:I120" si="3">IF(G67&gt;=0.7,(C67+D67)/2-E67,(C67-D67)/(LN((C67-E67)/(D67-E67))))</f>
        <v>60</v>
      </c>
      <c r="K67" t="s">
        <v>513</v>
      </c>
    </row>
    <row r="68" spans="3:11" x14ac:dyDescent="0.25">
      <c r="C68">
        <v>90</v>
      </c>
      <c r="D68">
        <v>70</v>
      </c>
      <c r="E68">
        <v>20</v>
      </c>
      <c r="F68">
        <v>3111</v>
      </c>
      <c r="G68">
        <f t="shared" si="2"/>
        <v>0.7142857142857143</v>
      </c>
      <c r="I68">
        <f t="shared" si="3"/>
        <v>60</v>
      </c>
      <c r="K68" t="s">
        <v>514</v>
      </c>
    </row>
    <row r="69" spans="3:11" x14ac:dyDescent="0.25">
      <c r="C69">
        <v>90</v>
      </c>
      <c r="D69">
        <v>70</v>
      </c>
      <c r="E69">
        <v>20</v>
      </c>
      <c r="F69">
        <v>831</v>
      </c>
      <c r="G69">
        <f t="shared" si="2"/>
        <v>0.7142857142857143</v>
      </c>
      <c r="I69">
        <f t="shared" si="3"/>
        <v>60</v>
      </c>
      <c r="K69" t="s">
        <v>515</v>
      </c>
    </row>
    <row r="70" spans="3:11" x14ac:dyDescent="0.25">
      <c r="C70">
        <v>90</v>
      </c>
      <c r="D70">
        <v>70</v>
      </c>
      <c r="E70">
        <v>20</v>
      </c>
      <c r="F70">
        <v>1350</v>
      </c>
      <c r="G70">
        <f t="shared" si="2"/>
        <v>0.7142857142857143</v>
      </c>
      <c r="I70">
        <f t="shared" si="3"/>
        <v>60</v>
      </c>
      <c r="K70" t="s">
        <v>516</v>
      </c>
    </row>
    <row r="71" spans="3:11" x14ac:dyDescent="0.25">
      <c r="C71">
        <v>90</v>
      </c>
      <c r="D71">
        <v>70</v>
      </c>
      <c r="E71">
        <v>20</v>
      </c>
      <c r="F71">
        <v>1038</v>
      </c>
      <c r="G71">
        <f t="shared" si="2"/>
        <v>0.7142857142857143</v>
      </c>
      <c r="I71">
        <f t="shared" si="3"/>
        <v>60</v>
      </c>
      <c r="K71" t="s">
        <v>517</v>
      </c>
    </row>
    <row r="72" spans="3:11" x14ac:dyDescent="0.25">
      <c r="C72">
        <v>90</v>
      </c>
      <c r="D72">
        <v>70</v>
      </c>
      <c r="E72">
        <v>20</v>
      </c>
      <c r="F72">
        <v>1688</v>
      </c>
      <c r="G72">
        <f t="shared" si="2"/>
        <v>0.7142857142857143</v>
      </c>
      <c r="I72">
        <f t="shared" si="3"/>
        <v>60</v>
      </c>
      <c r="K72" t="s">
        <v>518</v>
      </c>
    </row>
    <row r="73" spans="3:11" x14ac:dyDescent="0.25">
      <c r="C73">
        <v>90</v>
      </c>
      <c r="D73">
        <v>70</v>
      </c>
      <c r="E73">
        <v>20</v>
      </c>
      <c r="F73">
        <v>1246</v>
      </c>
      <c r="G73">
        <f t="shared" si="2"/>
        <v>0.7142857142857143</v>
      </c>
      <c r="I73">
        <f t="shared" si="3"/>
        <v>60</v>
      </c>
      <c r="K73" t="s">
        <v>519</v>
      </c>
    </row>
    <row r="74" spans="3:11" x14ac:dyDescent="0.25">
      <c r="C74">
        <v>90</v>
      </c>
      <c r="D74">
        <v>70</v>
      </c>
      <c r="E74">
        <v>20</v>
      </c>
      <c r="F74">
        <v>2025</v>
      </c>
      <c r="G74">
        <f t="shared" si="2"/>
        <v>0.7142857142857143</v>
      </c>
      <c r="I74">
        <f t="shared" si="3"/>
        <v>60</v>
      </c>
      <c r="K74" t="s">
        <v>520</v>
      </c>
    </row>
    <row r="75" spans="3:11" x14ac:dyDescent="0.25">
      <c r="C75">
        <v>90</v>
      </c>
      <c r="D75">
        <v>70</v>
      </c>
      <c r="E75">
        <v>20</v>
      </c>
      <c r="F75">
        <v>1453</v>
      </c>
      <c r="G75">
        <f t="shared" si="2"/>
        <v>0.7142857142857143</v>
      </c>
      <c r="I75">
        <f t="shared" si="3"/>
        <v>60</v>
      </c>
      <c r="K75" t="s">
        <v>521</v>
      </c>
    </row>
    <row r="76" spans="3:11" x14ac:dyDescent="0.25">
      <c r="C76">
        <v>90</v>
      </c>
      <c r="D76">
        <v>70</v>
      </c>
      <c r="E76">
        <v>20</v>
      </c>
      <c r="F76">
        <v>2363</v>
      </c>
      <c r="G76">
        <f t="shared" si="2"/>
        <v>0.7142857142857143</v>
      </c>
      <c r="I76">
        <f t="shared" si="3"/>
        <v>60</v>
      </c>
      <c r="K76" t="s">
        <v>522</v>
      </c>
    </row>
    <row r="77" spans="3:11" x14ac:dyDescent="0.25">
      <c r="C77">
        <v>90</v>
      </c>
      <c r="D77">
        <v>70</v>
      </c>
      <c r="E77">
        <v>20</v>
      </c>
      <c r="F77">
        <v>1661</v>
      </c>
      <c r="G77">
        <f t="shared" si="2"/>
        <v>0.7142857142857143</v>
      </c>
      <c r="I77">
        <f t="shared" si="3"/>
        <v>60</v>
      </c>
      <c r="K77" t="s">
        <v>523</v>
      </c>
    </row>
    <row r="78" spans="3:11" x14ac:dyDescent="0.25">
      <c r="C78">
        <v>90</v>
      </c>
      <c r="D78">
        <v>70</v>
      </c>
      <c r="E78">
        <v>20</v>
      </c>
      <c r="F78">
        <v>2382</v>
      </c>
      <c r="G78">
        <f t="shared" si="2"/>
        <v>0.7142857142857143</v>
      </c>
      <c r="I78">
        <f t="shared" si="3"/>
        <v>60</v>
      </c>
      <c r="K78" t="s">
        <v>524</v>
      </c>
    </row>
    <row r="79" spans="3:11" x14ac:dyDescent="0.25">
      <c r="C79">
        <v>90</v>
      </c>
      <c r="D79">
        <v>70</v>
      </c>
      <c r="E79">
        <v>20</v>
      </c>
      <c r="F79">
        <v>1869</v>
      </c>
      <c r="G79">
        <f t="shared" si="2"/>
        <v>0.7142857142857143</v>
      </c>
      <c r="I79">
        <f t="shared" si="3"/>
        <v>60</v>
      </c>
      <c r="K79" t="s">
        <v>525</v>
      </c>
    </row>
    <row r="80" spans="3:11" x14ac:dyDescent="0.25">
      <c r="C80">
        <v>90</v>
      </c>
      <c r="D80">
        <v>70</v>
      </c>
      <c r="E80">
        <v>20</v>
      </c>
      <c r="F80">
        <v>2680</v>
      </c>
      <c r="G80">
        <f t="shared" si="2"/>
        <v>0.7142857142857143</v>
      </c>
      <c r="I80">
        <f t="shared" si="3"/>
        <v>60</v>
      </c>
      <c r="K80" t="s">
        <v>526</v>
      </c>
    </row>
    <row r="81" spans="3:11" x14ac:dyDescent="0.25">
      <c r="C81">
        <v>90</v>
      </c>
      <c r="D81">
        <v>70</v>
      </c>
      <c r="E81">
        <v>20</v>
      </c>
      <c r="F81">
        <v>2076</v>
      </c>
      <c r="G81">
        <f t="shared" si="2"/>
        <v>0.7142857142857143</v>
      </c>
      <c r="I81">
        <f t="shared" si="3"/>
        <v>60</v>
      </c>
      <c r="K81" t="s">
        <v>527</v>
      </c>
    </row>
    <row r="82" spans="3:11" x14ac:dyDescent="0.25">
      <c r="C82">
        <v>90</v>
      </c>
      <c r="D82">
        <v>70</v>
      </c>
      <c r="E82">
        <v>20</v>
      </c>
      <c r="F82">
        <v>2977</v>
      </c>
      <c r="G82">
        <f t="shared" si="2"/>
        <v>0.7142857142857143</v>
      </c>
      <c r="I82">
        <f t="shared" si="3"/>
        <v>60</v>
      </c>
      <c r="K82" t="s">
        <v>528</v>
      </c>
    </row>
    <row r="83" spans="3:11" x14ac:dyDescent="0.25">
      <c r="C83">
        <v>90</v>
      </c>
      <c r="D83">
        <v>70</v>
      </c>
      <c r="E83">
        <v>20</v>
      </c>
      <c r="F83">
        <v>2284</v>
      </c>
      <c r="G83">
        <f t="shared" si="2"/>
        <v>0.7142857142857143</v>
      </c>
      <c r="I83">
        <f t="shared" si="3"/>
        <v>60</v>
      </c>
      <c r="K83" t="s">
        <v>529</v>
      </c>
    </row>
    <row r="84" spans="3:11" x14ac:dyDescent="0.25">
      <c r="C84">
        <v>90</v>
      </c>
      <c r="D84">
        <v>70</v>
      </c>
      <c r="E84">
        <v>20</v>
      </c>
      <c r="F84">
        <v>3275</v>
      </c>
      <c r="G84">
        <f t="shared" si="2"/>
        <v>0.7142857142857143</v>
      </c>
      <c r="I84">
        <f t="shared" si="3"/>
        <v>60</v>
      </c>
      <c r="K84" t="s">
        <v>530</v>
      </c>
    </row>
    <row r="85" spans="3:11" x14ac:dyDescent="0.25">
      <c r="C85">
        <v>90</v>
      </c>
      <c r="D85">
        <v>70</v>
      </c>
      <c r="E85">
        <v>20</v>
      </c>
      <c r="F85">
        <v>2492</v>
      </c>
      <c r="G85">
        <f t="shared" si="2"/>
        <v>0.7142857142857143</v>
      </c>
      <c r="I85">
        <f t="shared" si="3"/>
        <v>60</v>
      </c>
      <c r="K85" t="s">
        <v>531</v>
      </c>
    </row>
    <row r="86" spans="3:11" x14ac:dyDescent="0.25">
      <c r="C86">
        <v>90</v>
      </c>
      <c r="D86">
        <v>70</v>
      </c>
      <c r="E86">
        <v>20</v>
      </c>
      <c r="F86">
        <v>3573</v>
      </c>
      <c r="G86">
        <f t="shared" si="2"/>
        <v>0.7142857142857143</v>
      </c>
      <c r="I86">
        <f t="shared" si="3"/>
        <v>60</v>
      </c>
      <c r="K86" t="s">
        <v>532</v>
      </c>
    </row>
    <row r="87" spans="3:11" x14ac:dyDescent="0.25">
      <c r="C87">
        <v>90</v>
      </c>
      <c r="D87">
        <v>70</v>
      </c>
      <c r="E87">
        <v>20</v>
      </c>
      <c r="F87">
        <v>2907</v>
      </c>
      <c r="G87">
        <f t="shared" si="2"/>
        <v>0.7142857142857143</v>
      </c>
      <c r="I87">
        <f t="shared" si="3"/>
        <v>60</v>
      </c>
      <c r="K87" t="s">
        <v>533</v>
      </c>
    </row>
    <row r="88" spans="3:11" x14ac:dyDescent="0.25">
      <c r="C88">
        <v>90</v>
      </c>
      <c r="D88">
        <v>70</v>
      </c>
      <c r="E88">
        <v>20</v>
      </c>
      <c r="F88">
        <v>4168</v>
      </c>
      <c r="G88">
        <f t="shared" si="2"/>
        <v>0.7142857142857143</v>
      </c>
      <c r="I88">
        <f t="shared" si="3"/>
        <v>60</v>
      </c>
      <c r="K88" t="s">
        <v>534</v>
      </c>
    </row>
    <row r="89" spans="3:11" x14ac:dyDescent="0.25">
      <c r="C89">
        <v>90</v>
      </c>
      <c r="D89">
        <v>70</v>
      </c>
      <c r="E89">
        <v>20</v>
      </c>
      <c r="F89">
        <v>3322</v>
      </c>
      <c r="G89">
        <f t="shared" si="2"/>
        <v>0.7142857142857143</v>
      </c>
      <c r="I89">
        <f t="shared" si="3"/>
        <v>60</v>
      </c>
      <c r="K89" t="s">
        <v>535</v>
      </c>
    </row>
    <row r="90" spans="3:11" x14ac:dyDescent="0.25">
      <c r="C90">
        <v>90</v>
      </c>
      <c r="D90">
        <v>70</v>
      </c>
      <c r="E90">
        <v>20</v>
      </c>
      <c r="F90">
        <v>4764</v>
      </c>
      <c r="G90">
        <f t="shared" si="2"/>
        <v>0.7142857142857143</v>
      </c>
      <c r="I90">
        <f t="shared" si="3"/>
        <v>60</v>
      </c>
      <c r="K90" t="s">
        <v>536</v>
      </c>
    </row>
    <row r="91" spans="3:11" x14ac:dyDescent="0.25">
      <c r="C91">
        <v>90</v>
      </c>
      <c r="D91">
        <v>70</v>
      </c>
      <c r="E91">
        <v>20</v>
      </c>
      <c r="F91">
        <v>3737</v>
      </c>
      <c r="G91">
        <f t="shared" si="2"/>
        <v>0.7142857142857143</v>
      </c>
      <c r="I91">
        <f t="shared" si="3"/>
        <v>60</v>
      </c>
      <c r="K91" t="s">
        <v>537</v>
      </c>
    </row>
    <row r="92" spans="3:11" x14ac:dyDescent="0.25">
      <c r="C92">
        <v>90</v>
      </c>
      <c r="D92">
        <v>70</v>
      </c>
      <c r="E92">
        <v>20</v>
      </c>
      <c r="F92">
        <v>5359</v>
      </c>
      <c r="G92">
        <f t="shared" si="2"/>
        <v>0.7142857142857143</v>
      </c>
      <c r="I92">
        <f t="shared" si="3"/>
        <v>60</v>
      </c>
      <c r="K92" t="s">
        <v>538</v>
      </c>
    </row>
    <row r="93" spans="3:11" x14ac:dyDescent="0.25">
      <c r="C93">
        <v>90</v>
      </c>
      <c r="D93">
        <v>70</v>
      </c>
      <c r="E93">
        <v>20</v>
      </c>
      <c r="F93">
        <v>4153</v>
      </c>
      <c r="G93">
        <f t="shared" si="2"/>
        <v>0.7142857142857143</v>
      </c>
      <c r="I93">
        <f t="shared" si="3"/>
        <v>60</v>
      </c>
      <c r="K93" t="s">
        <v>539</v>
      </c>
    </row>
    <row r="94" spans="3:11" x14ac:dyDescent="0.25">
      <c r="C94">
        <v>90</v>
      </c>
      <c r="D94">
        <v>70</v>
      </c>
      <c r="E94">
        <v>20</v>
      </c>
      <c r="F94">
        <v>5955</v>
      </c>
      <c r="G94">
        <f t="shared" si="2"/>
        <v>0.7142857142857143</v>
      </c>
      <c r="I94">
        <f t="shared" si="3"/>
        <v>60</v>
      </c>
      <c r="K94" t="s">
        <v>540</v>
      </c>
    </row>
    <row r="95" spans="3:11" x14ac:dyDescent="0.25">
      <c r="C95">
        <v>90</v>
      </c>
      <c r="D95">
        <v>70</v>
      </c>
      <c r="E95">
        <v>20</v>
      </c>
      <c r="F95">
        <v>480</v>
      </c>
      <c r="G95">
        <f t="shared" si="2"/>
        <v>0.7142857142857143</v>
      </c>
      <c r="I95">
        <f t="shared" si="3"/>
        <v>60</v>
      </c>
      <c r="K95" t="s">
        <v>541</v>
      </c>
    </row>
    <row r="96" spans="3:11" x14ac:dyDescent="0.25">
      <c r="C96">
        <v>90</v>
      </c>
      <c r="D96">
        <v>70</v>
      </c>
      <c r="E96">
        <v>20</v>
      </c>
      <c r="F96">
        <v>622</v>
      </c>
      <c r="G96">
        <f t="shared" si="2"/>
        <v>0.7142857142857143</v>
      </c>
      <c r="I96">
        <f t="shared" si="3"/>
        <v>60</v>
      </c>
      <c r="K96" t="s">
        <v>542</v>
      </c>
    </row>
    <row r="97" spans="3:11" x14ac:dyDescent="0.25">
      <c r="C97">
        <v>90</v>
      </c>
      <c r="D97">
        <v>70</v>
      </c>
      <c r="E97">
        <v>20</v>
      </c>
      <c r="F97">
        <v>600</v>
      </c>
      <c r="G97">
        <f t="shared" si="2"/>
        <v>0.7142857142857143</v>
      </c>
      <c r="I97">
        <f t="shared" si="3"/>
        <v>60</v>
      </c>
      <c r="K97" t="s">
        <v>543</v>
      </c>
    </row>
    <row r="98" spans="3:11" x14ac:dyDescent="0.25">
      <c r="C98">
        <v>90</v>
      </c>
      <c r="D98">
        <v>70</v>
      </c>
      <c r="E98">
        <v>20</v>
      </c>
      <c r="F98">
        <v>778</v>
      </c>
      <c r="G98">
        <f t="shared" si="2"/>
        <v>0.7142857142857143</v>
      </c>
      <c r="I98">
        <f t="shared" si="3"/>
        <v>60</v>
      </c>
      <c r="K98" t="s">
        <v>544</v>
      </c>
    </row>
    <row r="99" spans="3:11" x14ac:dyDescent="0.25">
      <c r="C99">
        <v>90</v>
      </c>
      <c r="D99">
        <v>70</v>
      </c>
      <c r="E99">
        <v>20</v>
      </c>
      <c r="F99">
        <v>721</v>
      </c>
      <c r="G99">
        <f t="shared" si="2"/>
        <v>0.7142857142857143</v>
      </c>
      <c r="I99">
        <f t="shared" si="3"/>
        <v>60</v>
      </c>
      <c r="K99" t="s">
        <v>545</v>
      </c>
    </row>
    <row r="100" spans="3:11" x14ac:dyDescent="0.25">
      <c r="C100">
        <v>90</v>
      </c>
      <c r="D100">
        <v>70</v>
      </c>
      <c r="E100">
        <v>20</v>
      </c>
      <c r="F100">
        <v>933</v>
      </c>
      <c r="G100">
        <f t="shared" si="2"/>
        <v>0.7142857142857143</v>
      </c>
      <c r="I100">
        <f t="shared" si="3"/>
        <v>60</v>
      </c>
      <c r="K100" t="s">
        <v>546</v>
      </c>
    </row>
    <row r="101" spans="3:11" x14ac:dyDescent="0.25">
      <c r="C101">
        <v>90</v>
      </c>
      <c r="D101">
        <v>70</v>
      </c>
      <c r="E101">
        <v>20</v>
      </c>
      <c r="F101">
        <v>841</v>
      </c>
      <c r="G101">
        <f t="shared" si="2"/>
        <v>0.7142857142857143</v>
      </c>
      <c r="I101">
        <f t="shared" si="3"/>
        <v>60</v>
      </c>
      <c r="K101" t="s">
        <v>547</v>
      </c>
    </row>
    <row r="102" spans="3:11" x14ac:dyDescent="0.25">
      <c r="C102">
        <v>90</v>
      </c>
      <c r="D102">
        <v>70</v>
      </c>
      <c r="E102">
        <v>20</v>
      </c>
      <c r="F102">
        <v>1089</v>
      </c>
      <c r="G102">
        <f t="shared" si="2"/>
        <v>0.7142857142857143</v>
      </c>
      <c r="I102">
        <f t="shared" si="3"/>
        <v>60</v>
      </c>
      <c r="K102" t="s">
        <v>548</v>
      </c>
    </row>
    <row r="103" spans="3:11" x14ac:dyDescent="0.25">
      <c r="C103">
        <v>90</v>
      </c>
      <c r="D103">
        <v>70</v>
      </c>
      <c r="E103">
        <v>20</v>
      </c>
      <c r="F103">
        <v>961</v>
      </c>
      <c r="G103">
        <f t="shared" si="2"/>
        <v>0.7142857142857143</v>
      </c>
      <c r="I103">
        <f t="shared" si="3"/>
        <v>60</v>
      </c>
      <c r="K103" t="s">
        <v>549</v>
      </c>
    </row>
    <row r="104" spans="3:11" x14ac:dyDescent="0.25">
      <c r="C104">
        <v>90</v>
      </c>
      <c r="D104">
        <v>70</v>
      </c>
      <c r="E104">
        <v>20</v>
      </c>
      <c r="F104">
        <v>1244</v>
      </c>
      <c r="G104">
        <f t="shared" si="2"/>
        <v>0.7142857142857143</v>
      </c>
      <c r="I104">
        <f t="shared" si="3"/>
        <v>60</v>
      </c>
      <c r="K104" t="s">
        <v>550</v>
      </c>
    </row>
    <row r="105" spans="3:11" x14ac:dyDescent="0.25">
      <c r="C105">
        <v>90</v>
      </c>
      <c r="D105">
        <v>70</v>
      </c>
      <c r="E105">
        <v>20</v>
      </c>
      <c r="F105">
        <v>1081</v>
      </c>
      <c r="G105">
        <f t="shared" si="2"/>
        <v>0.7142857142857143</v>
      </c>
      <c r="I105">
        <f t="shared" si="3"/>
        <v>60</v>
      </c>
      <c r="K105" t="s">
        <v>551</v>
      </c>
    </row>
    <row r="106" spans="3:11" x14ac:dyDescent="0.25">
      <c r="C106">
        <v>90</v>
      </c>
      <c r="D106">
        <v>70</v>
      </c>
      <c r="E106">
        <v>20</v>
      </c>
      <c r="F106">
        <v>1400</v>
      </c>
      <c r="G106">
        <f t="shared" si="2"/>
        <v>0.7142857142857143</v>
      </c>
      <c r="I106">
        <f t="shared" si="3"/>
        <v>60</v>
      </c>
      <c r="K106" t="s">
        <v>552</v>
      </c>
    </row>
    <row r="107" spans="3:11" x14ac:dyDescent="0.25">
      <c r="C107">
        <v>90</v>
      </c>
      <c r="D107">
        <v>70</v>
      </c>
      <c r="E107">
        <v>20</v>
      </c>
      <c r="F107">
        <v>1201</v>
      </c>
      <c r="G107">
        <f t="shared" si="2"/>
        <v>0.7142857142857143</v>
      </c>
      <c r="I107">
        <f t="shared" si="3"/>
        <v>60</v>
      </c>
      <c r="K107" t="s">
        <v>553</v>
      </c>
    </row>
    <row r="108" spans="3:11" x14ac:dyDescent="0.25">
      <c r="C108">
        <v>90</v>
      </c>
      <c r="D108">
        <v>70</v>
      </c>
      <c r="E108">
        <v>20</v>
      </c>
      <c r="F108">
        <v>1556</v>
      </c>
      <c r="G108">
        <f t="shared" si="2"/>
        <v>0.7142857142857143</v>
      </c>
      <c r="I108">
        <f t="shared" si="3"/>
        <v>60</v>
      </c>
      <c r="K108" t="s">
        <v>554</v>
      </c>
    </row>
    <row r="109" spans="3:11" x14ac:dyDescent="0.25">
      <c r="C109">
        <v>90</v>
      </c>
      <c r="D109">
        <v>70</v>
      </c>
      <c r="E109">
        <v>20</v>
      </c>
      <c r="F109">
        <v>1321</v>
      </c>
      <c r="G109">
        <f t="shared" si="2"/>
        <v>0.7142857142857143</v>
      </c>
      <c r="I109">
        <f t="shared" si="3"/>
        <v>60</v>
      </c>
      <c r="K109" t="s">
        <v>555</v>
      </c>
    </row>
    <row r="110" spans="3:11" x14ac:dyDescent="0.25">
      <c r="C110">
        <v>90</v>
      </c>
      <c r="D110">
        <v>70</v>
      </c>
      <c r="E110">
        <v>20</v>
      </c>
      <c r="F110">
        <v>1711</v>
      </c>
      <c r="G110">
        <f t="shared" si="2"/>
        <v>0.7142857142857143</v>
      </c>
      <c r="I110">
        <f t="shared" si="3"/>
        <v>60</v>
      </c>
      <c r="K110" t="s">
        <v>556</v>
      </c>
    </row>
    <row r="111" spans="3:11" x14ac:dyDescent="0.25">
      <c r="C111">
        <v>90</v>
      </c>
      <c r="D111">
        <v>70</v>
      </c>
      <c r="E111">
        <v>20</v>
      </c>
      <c r="F111">
        <v>1441</v>
      </c>
      <c r="G111">
        <f t="shared" si="2"/>
        <v>0.7142857142857143</v>
      </c>
      <c r="I111">
        <f t="shared" si="3"/>
        <v>60</v>
      </c>
      <c r="K111" t="s">
        <v>557</v>
      </c>
    </row>
    <row r="112" spans="3:11" x14ac:dyDescent="0.25">
      <c r="C112">
        <v>90</v>
      </c>
      <c r="D112">
        <v>70</v>
      </c>
      <c r="E112">
        <v>20</v>
      </c>
      <c r="F112">
        <v>1867</v>
      </c>
      <c r="G112">
        <f t="shared" si="2"/>
        <v>0.7142857142857143</v>
      </c>
      <c r="I112">
        <f t="shared" si="3"/>
        <v>60</v>
      </c>
      <c r="K112" t="s">
        <v>558</v>
      </c>
    </row>
    <row r="113" spans="3:11" x14ac:dyDescent="0.25">
      <c r="C113">
        <v>90</v>
      </c>
      <c r="D113">
        <v>70</v>
      </c>
      <c r="E113">
        <v>20</v>
      </c>
      <c r="F113">
        <v>1681</v>
      </c>
      <c r="G113">
        <f t="shared" si="2"/>
        <v>0.7142857142857143</v>
      </c>
      <c r="I113">
        <f t="shared" si="3"/>
        <v>60</v>
      </c>
      <c r="K113" t="s">
        <v>559</v>
      </c>
    </row>
    <row r="114" spans="3:11" x14ac:dyDescent="0.25">
      <c r="C114">
        <v>90</v>
      </c>
      <c r="D114">
        <v>70</v>
      </c>
      <c r="E114">
        <v>20</v>
      </c>
      <c r="F114">
        <v>2178</v>
      </c>
      <c r="G114">
        <f t="shared" si="2"/>
        <v>0.7142857142857143</v>
      </c>
      <c r="I114">
        <f t="shared" si="3"/>
        <v>60</v>
      </c>
      <c r="K114" t="s">
        <v>560</v>
      </c>
    </row>
    <row r="115" spans="3:11" x14ac:dyDescent="0.25">
      <c r="C115">
        <v>90</v>
      </c>
      <c r="D115">
        <v>70</v>
      </c>
      <c r="E115">
        <v>20</v>
      </c>
      <c r="F115">
        <v>1921</v>
      </c>
      <c r="G115">
        <f t="shared" si="2"/>
        <v>0.7142857142857143</v>
      </c>
      <c r="I115">
        <f t="shared" si="3"/>
        <v>60</v>
      </c>
      <c r="K115" t="s">
        <v>561</v>
      </c>
    </row>
    <row r="116" spans="3:11" x14ac:dyDescent="0.25">
      <c r="C116">
        <v>90</v>
      </c>
      <c r="D116">
        <v>70</v>
      </c>
      <c r="E116">
        <v>20</v>
      </c>
      <c r="F116">
        <v>2489</v>
      </c>
      <c r="G116">
        <f t="shared" si="2"/>
        <v>0.7142857142857143</v>
      </c>
      <c r="I116">
        <f t="shared" si="3"/>
        <v>60</v>
      </c>
      <c r="K116" t="s">
        <v>562</v>
      </c>
    </row>
    <row r="117" spans="3:11" x14ac:dyDescent="0.25">
      <c r="C117">
        <v>90</v>
      </c>
      <c r="D117">
        <v>70</v>
      </c>
      <c r="E117">
        <v>20</v>
      </c>
      <c r="F117">
        <v>2162</v>
      </c>
      <c r="G117">
        <f t="shared" si="2"/>
        <v>0.7142857142857143</v>
      </c>
      <c r="I117">
        <f t="shared" si="3"/>
        <v>60</v>
      </c>
      <c r="K117" t="s">
        <v>563</v>
      </c>
    </row>
    <row r="118" spans="3:11" x14ac:dyDescent="0.25">
      <c r="C118">
        <v>90</v>
      </c>
      <c r="D118">
        <v>70</v>
      </c>
      <c r="E118">
        <v>20</v>
      </c>
      <c r="F118">
        <v>2800</v>
      </c>
      <c r="G118">
        <f t="shared" si="2"/>
        <v>0.7142857142857143</v>
      </c>
      <c r="I118">
        <f t="shared" si="3"/>
        <v>60</v>
      </c>
      <c r="K118" t="s">
        <v>564</v>
      </c>
    </row>
    <row r="119" spans="3:11" x14ac:dyDescent="0.25">
      <c r="C119">
        <v>90</v>
      </c>
      <c r="D119">
        <v>70</v>
      </c>
      <c r="E119">
        <v>20</v>
      </c>
      <c r="F119">
        <v>2402</v>
      </c>
      <c r="G119">
        <f t="shared" si="2"/>
        <v>0.7142857142857143</v>
      </c>
      <c r="I119">
        <f t="shared" si="3"/>
        <v>60</v>
      </c>
      <c r="K119" t="s">
        <v>565</v>
      </c>
    </row>
    <row r="120" spans="3:11" x14ac:dyDescent="0.25">
      <c r="C120">
        <v>90</v>
      </c>
      <c r="D120">
        <v>70</v>
      </c>
      <c r="E120">
        <v>20</v>
      </c>
      <c r="F120">
        <v>3111</v>
      </c>
      <c r="G120">
        <f t="shared" si="2"/>
        <v>0.7142857142857143</v>
      </c>
      <c r="I120">
        <f t="shared" si="3"/>
        <v>60</v>
      </c>
      <c r="K120" t="s">
        <v>566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C968B-0FD3-441B-9874-5868EE382D21}">
  <sheetPr codeName="Sheet18"/>
  <dimension ref="C2:N120"/>
  <sheetViews>
    <sheetView workbookViewId="0">
      <selection activeCell="C2" sqref="C2:F2"/>
    </sheetView>
  </sheetViews>
  <sheetFormatPr defaultRowHeight="15" x14ac:dyDescent="0.25"/>
  <sheetData>
    <row r="2" spans="3:14" x14ac:dyDescent="0.25">
      <c r="C2" t="s">
        <v>67</v>
      </c>
      <c r="D2" t="s">
        <v>68</v>
      </c>
      <c r="E2" t="s">
        <v>69</v>
      </c>
      <c r="F2" t="s">
        <v>70</v>
      </c>
      <c r="G2" t="s">
        <v>66</v>
      </c>
      <c r="I2" t="s">
        <v>5</v>
      </c>
      <c r="K2" t="s">
        <v>86</v>
      </c>
      <c r="N2" t="s">
        <v>93</v>
      </c>
    </row>
    <row r="3" spans="3:14" x14ac:dyDescent="0.25">
      <c r="C3">
        <v>90</v>
      </c>
      <c r="D3">
        <v>70</v>
      </c>
      <c r="E3">
        <v>20</v>
      </c>
      <c r="F3">
        <v>939</v>
      </c>
      <c r="G3">
        <f t="shared" ref="G3:G66" si="0">(D3-E3)/(C3-E3)</f>
        <v>0.7142857142857143</v>
      </c>
      <c r="I3">
        <f t="shared" ref="I3:I66" si="1">IF(G3&gt;=0.7,(C3+D3)/2-E3,(C3-D3)/(LN((C3-E3)/(D3-E3))))</f>
        <v>60</v>
      </c>
      <c r="K3" t="s">
        <v>567</v>
      </c>
      <c r="N3">
        <f>COUNT(G:G)</f>
        <v>118</v>
      </c>
    </row>
    <row r="4" spans="3:14" x14ac:dyDescent="0.25">
      <c r="C4">
        <v>90</v>
      </c>
      <c r="D4">
        <v>70</v>
      </c>
      <c r="E4">
        <v>20</v>
      </c>
      <c r="F4">
        <v>1218</v>
      </c>
      <c r="G4">
        <f t="shared" si="0"/>
        <v>0.7142857142857143</v>
      </c>
      <c r="I4">
        <f t="shared" si="1"/>
        <v>60</v>
      </c>
      <c r="K4" t="s">
        <v>568</v>
      </c>
    </row>
    <row r="5" spans="3:14" x14ac:dyDescent="0.25">
      <c r="C5">
        <v>90</v>
      </c>
      <c r="D5">
        <v>70</v>
      </c>
      <c r="E5">
        <v>20</v>
      </c>
      <c r="F5">
        <v>2109</v>
      </c>
      <c r="G5">
        <f t="shared" si="0"/>
        <v>0.7142857142857143</v>
      </c>
      <c r="I5">
        <f t="shared" si="1"/>
        <v>60</v>
      </c>
      <c r="K5" t="s">
        <v>569</v>
      </c>
    </row>
    <row r="6" spans="3:14" x14ac:dyDescent="0.25">
      <c r="C6">
        <v>90</v>
      </c>
      <c r="D6">
        <v>70</v>
      </c>
      <c r="E6">
        <v>20</v>
      </c>
      <c r="F6">
        <v>1127</v>
      </c>
      <c r="G6">
        <f t="shared" si="0"/>
        <v>0.7142857142857143</v>
      </c>
      <c r="I6">
        <f t="shared" si="1"/>
        <v>60</v>
      </c>
      <c r="K6" t="s">
        <v>570</v>
      </c>
    </row>
    <row r="7" spans="3:14" x14ac:dyDescent="0.25">
      <c r="C7">
        <v>90</v>
      </c>
      <c r="D7">
        <v>70</v>
      </c>
      <c r="E7">
        <v>20</v>
      </c>
      <c r="F7">
        <v>1461</v>
      </c>
      <c r="G7">
        <f t="shared" si="0"/>
        <v>0.7142857142857143</v>
      </c>
      <c r="I7">
        <f t="shared" si="1"/>
        <v>60</v>
      </c>
      <c r="K7" t="s">
        <v>571</v>
      </c>
    </row>
    <row r="8" spans="3:14" x14ac:dyDescent="0.25">
      <c r="C8">
        <v>90</v>
      </c>
      <c r="D8">
        <v>70</v>
      </c>
      <c r="E8">
        <v>20</v>
      </c>
      <c r="F8">
        <v>2531</v>
      </c>
      <c r="G8">
        <f t="shared" si="0"/>
        <v>0.7142857142857143</v>
      </c>
      <c r="I8">
        <f t="shared" si="1"/>
        <v>60</v>
      </c>
      <c r="K8" t="s">
        <v>572</v>
      </c>
    </row>
    <row r="9" spans="3:14" x14ac:dyDescent="0.25">
      <c r="C9">
        <v>90</v>
      </c>
      <c r="D9">
        <v>70</v>
      </c>
      <c r="E9">
        <v>20</v>
      </c>
      <c r="F9">
        <v>1315</v>
      </c>
      <c r="G9">
        <f t="shared" si="0"/>
        <v>0.7142857142857143</v>
      </c>
      <c r="I9">
        <f t="shared" si="1"/>
        <v>60</v>
      </c>
      <c r="K9" t="s">
        <v>573</v>
      </c>
    </row>
    <row r="10" spans="3:14" x14ac:dyDescent="0.25">
      <c r="C10">
        <v>90</v>
      </c>
      <c r="D10">
        <v>70</v>
      </c>
      <c r="E10">
        <v>20</v>
      </c>
      <c r="F10">
        <v>1705</v>
      </c>
      <c r="G10">
        <f t="shared" si="0"/>
        <v>0.7142857142857143</v>
      </c>
      <c r="I10">
        <f t="shared" si="1"/>
        <v>60</v>
      </c>
      <c r="K10" t="s">
        <v>574</v>
      </c>
    </row>
    <row r="11" spans="3:14" x14ac:dyDescent="0.25">
      <c r="C11">
        <v>90</v>
      </c>
      <c r="D11">
        <v>70</v>
      </c>
      <c r="E11">
        <v>20</v>
      </c>
      <c r="F11">
        <v>2953</v>
      </c>
      <c r="G11">
        <f t="shared" si="0"/>
        <v>0.7142857142857143</v>
      </c>
      <c r="I11">
        <f t="shared" si="1"/>
        <v>60</v>
      </c>
      <c r="K11" t="s">
        <v>575</v>
      </c>
    </row>
    <row r="12" spans="3:14" x14ac:dyDescent="0.25">
      <c r="C12">
        <v>90</v>
      </c>
      <c r="D12">
        <v>70</v>
      </c>
      <c r="E12">
        <v>20</v>
      </c>
      <c r="F12">
        <v>1503</v>
      </c>
      <c r="G12">
        <f t="shared" si="0"/>
        <v>0.7142857142857143</v>
      </c>
      <c r="I12">
        <f t="shared" si="1"/>
        <v>60</v>
      </c>
      <c r="K12" t="s">
        <v>576</v>
      </c>
    </row>
    <row r="13" spans="3:14" x14ac:dyDescent="0.25">
      <c r="C13">
        <v>90</v>
      </c>
      <c r="D13">
        <v>70</v>
      </c>
      <c r="E13">
        <v>20</v>
      </c>
      <c r="F13">
        <v>1948</v>
      </c>
      <c r="G13">
        <f t="shared" si="0"/>
        <v>0.7142857142857143</v>
      </c>
      <c r="I13">
        <f t="shared" si="1"/>
        <v>60</v>
      </c>
      <c r="K13" t="s">
        <v>577</v>
      </c>
    </row>
    <row r="14" spans="3:14" x14ac:dyDescent="0.25">
      <c r="C14">
        <v>90</v>
      </c>
      <c r="D14">
        <v>70</v>
      </c>
      <c r="E14">
        <v>20</v>
      </c>
      <c r="F14">
        <v>2789</v>
      </c>
      <c r="G14">
        <f t="shared" si="0"/>
        <v>0.7142857142857143</v>
      </c>
      <c r="I14">
        <f t="shared" si="1"/>
        <v>60</v>
      </c>
      <c r="K14" t="s">
        <v>578</v>
      </c>
    </row>
    <row r="15" spans="3:14" x14ac:dyDescent="0.25">
      <c r="C15">
        <v>90</v>
      </c>
      <c r="D15">
        <v>70</v>
      </c>
      <c r="E15">
        <v>20</v>
      </c>
      <c r="F15">
        <v>1691</v>
      </c>
      <c r="G15">
        <f t="shared" si="0"/>
        <v>0.7142857142857143</v>
      </c>
      <c r="I15">
        <f t="shared" si="1"/>
        <v>60</v>
      </c>
      <c r="K15" t="s">
        <v>579</v>
      </c>
    </row>
    <row r="16" spans="3:14" x14ac:dyDescent="0.25">
      <c r="C16">
        <v>90</v>
      </c>
      <c r="D16">
        <v>70</v>
      </c>
      <c r="E16">
        <v>20</v>
      </c>
      <c r="F16">
        <v>2192</v>
      </c>
      <c r="G16">
        <f t="shared" si="0"/>
        <v>0.7142857142857143</v>
      </c>
      <c r="I16">
        <f t="shared" si="1"/>
        <v>60</v>
      </c>
      <c r="K16" t="s">
        <v>580</v>
      </c>
    </row>
    <row r="17" spans="3:11" x14ac:dyDescent="0.25">
      <c r="C17">
        <v>90</v>
      </c>
      <c r="D17">
        <v>70</v>
      </c>
      <c r="E17">
        <v>20</v>
      </c>
      <c r="F17">
        <v>3137</v>
      </c>
      <c r="G17">
        <f t="shared" si="0"/>
        <v>0.7142857142857143</v>
      </c>
      <c r="I17">
        <f t="shared" si="1"/>
        <v>60</v>
      </c>
      <c r="K17" t="s">
        <v>581</v>
      </c>
    </row>
    <row r="18" spans="3:11" x14ac:dyDescent="0.25">
      <c r="C18">
        <v>90</v>
      </c>
      <c r="D18">
        <v>70</v>
      </c>
      <c r="E18">
        <v>20</v>
      </c>
      <c r="F18">
        <v>1879</v>
      </c>
      <c r="G18">
        <f t="shared" si="0"/>
        <v>0.7142857142857143</v>
      </c>
      <c r="I18">
        <f t="shared" si="1"/>
        <v>60</v>
      </c>
      <c r="K18" t="s">
        <v>582</v>
      </c>
    </row>
    <row r="19" spans="3:11" x14ac:dyDescent="0.25">
      <c r="C19">
        <v>90</v>
      </c>
      <c r="D19">
        <v>70</v>
      </c>
      <c r="E19">
        <v>20</v>
      </c>
      <c r="F19">
        <v>2435</v>
      </c>
      <c r="G19">
        <f t="shared" si="0"/>
        <v>0.7142857142857143</v>
      </c>
      <c r="I19">
        <f t="shared" si="1"/>
        <v>60</v>
      </c>
      <c r="K19" t="s">
        <v>583</v>
      </c>
    </row>
    <row r="20" spans="3:11" x14ac:dyDescent="0.25">
      <c r="C20">
        <v>90</v>
      </c>
      <c r="D20">
        <v>70</v>
      </c>
      <c r="E20">
        <v>20</v>
      </c>
      <c r="F20">
        <v>3486</v>
      </c>
      <c r="G20">
        <f t="shared" si="0"/>
        <v>0.7142857142857143</v>
      </c>
      <c r="I20">
        <f t="shared" si="1"/>
        <v>60</v>
      </c>
      <c r="K20" t="s">
        <v>584</v>
      </c>
    </row>
    <row r="21" spans="3:11" x14ac:dyDescent="0.25">
      <c r="C21">
        <v>90</v>
      </c>
      <c r="D21">
        <v>70</v>
      </c>
      <c r="E21">
        <v>20</v>
      </c>
      <c r="F21">
        <v>2066</v>
      </c>
      <c r="G21">
        <f t="shared" si="0"/>
        <v>0.7142857142857143</v>
      </c>
      <c r="I21">
        <f t="shared" si="1"/>
        <v>60</v>
      </c>
      <c r="K21" t="s">
        <v>585</v>
      </c>
    </row>
    <row r="22" spans="3:11" x14ac:dyDescent="0.25">
      <c r="C22">
        <v>90</v>
      </c>
      <c r="D22">
        <v>70</v>
      </c>
      <c r="E22">
        <v>20</v>
      </c>
      <c r="F22">
        <v>2679</v>
      </c>
      <c r="G22">
        <f t="shared" si="0"/>
        <v>0.7142857142857143</v>
      </c>
      <c r="I22">
        <f t="shared" si="1"/>
        <v>60</v>
      </c>
      <c r="K22" t="s">
        <v>586</v>
      </c>
    </row>
    <row r="23" spans="3:11" x14ac:dyDescent="0.25">
      <c r="C23">
        <v>90</v>
      </c>
      <c r="D23">
        <v>70</v>
      </c>
      <c r="E23">
        <v>20</v>
      </c>
      <c r="F23">
        <v>3835</v>
      </c>
      <c r="G23">
        <f t="shared" si="0"/>
        <v>0.7142857142857143</v>
      </c>
      <c r="I23">
        <f t="shared" si="1"/>
        <v>60</v>
      </c>
      <c r="K23" t="s">
        <v>587</v>
      </c>
    </row>
    <row r="24" spans="3:11" x14ac:dyDescent="0.25">
      <c r="C24">
        <v>90</v>
      </c>
      <c r="D24">
        <v>70</v>
      </c>
      <c r="E24">
        <v>20</v>
      </c>
      <c r="F24">
        <v>2254</v>
      </c>
      <c r="G24">
        <f t="shared" si="0"/>
        <v>0.7142857142857143</v>
      </c>
      <c r="I24">
        <f t="shared" si="1"/>
        <v>60</v>
      </c>
      <c r="K24" t="s">
        <v>588</v>
      </c>
    </row>
    <row r="25" spans="3:11" x14ac:dyDescent="0.25">
      <c r="C25">
        <v>90</v>
      </c>
      <c r="D25">
        <v>70</v>
      </c>
      <c r="E25">
        <v>20</v>
      </c>
      <c r="F25">
        <v>2922</v>
      </c>
      <c r="G25">
        <f t="shared" si="0"/>
        <v>0.7142857142857143</v>
      </c>
      <c r="I25">
        <f t="shared" si="1"/>
        <v>60</v>
      </c>
      <c r="K25" t="s">
        <v>589</v>
      </c>
    </row>
    <row r="26" spans="3:11" x14ac:dyDescent="0.25">
      <c r="C26">
        <v>90</v>
      </c>
      <c r="D26">
        <v>70</v>
      </c>
      <c r="E26">
        <v>20</v>
      </c>
      <c r="F26">
        <v>4183</v>
      </c>
      <c r="G26">
        <f t="shared" si="0"/>
        <v>0.7142857142857143</v>
      </c>
      <c r="I26">
        <f t="shared" si="1"/>
        <v>60</v>
      </c>
      <c r="K26" t="s">
        <v>590</v>
      </c>
    </row>
    <row r="27" spans="3:11" x14ac:dyDescent="0.25">
      <c r="C27">
        <v>90</v>
      </c>
      <c r="D27">
        <v>70</v>
      </c>
      <c r="E27">
        <v>20</v>
      </c>
      <c r="F27">
        <v>2630</v>
      </c>
      <c r="G27">
        <f t="shared" si="0"/>
        <v>0.7142857142857143</v>
      </c>
      <c r="I27">
        <f t="shared" si="1"/>
        <v>60</v>
      </c>
      <c r="K27" t="s">
        <v>591</v>
      </c>
    </row>
    <row r="28" spans="3:11" x14ac:dyDescent="0.25">
      <c r="C28">
        <v>90</v>
      </c>
      <c r="D28">
        <v>70</v>
      </c>
      <c r="E28">
        <v>20</v>
      </c>
      <c r="F28">
        <v>3409</v>
      </c>
      <c r="G28">
        <f t="shared" si="0"/>
        <v>0.7142857142857143</v>
      </c>
      <c r="I28">
        <f t="shared" si="1"/>
        <v>60</v>
      </c>
      <c r="K28" t="s">
        <v>592</v>
      </c>
    </row>
    <row r="29" spans="3:11" x14ac:dyDescent="0.25">
      <c r="C29">
        <v>90</v>
      </c>
      <c r="D29">
        <v>70</v>
      </c>
      <c r="E29">
        <v>20</v>
      </c>
      <c r="F29">
        <v>4880</v>
      </c>
      <c r="G29">
        <f t="shared" si="0"/>
        <v>0.7142857142857143</v>
      </c>
      <c r="I29">
        <f t="shared" si="1"/>
        <v>60</v>
      </c>
      <c r="K29" t="s">
        <v>593</v>
      </c>
    </row>
    <row r="30" spans="3:11" x14ac:dyDescent="0.25">
      <c r="C30">
        <v>90</v>
      </c>
      <c r="D30">
        <v>70</v>
      </c>
      <c r="E30">
        <v>20</v>
      </c>
      <c r="F30">
        <v>3006</v>
      </c>
      <c r="G30">
        <f t="shared" si="0"/>
        <v>0.7142857142857143</v>
      </c>
      <c r="I30">
        <f t="shared" si="1"/>
        <v>60</v>
      </c>
      <c r="K30" t="s">
        <v>594</v>
      </c>
    </row>
    <row r="31" spans="3:11" x14ac:dyDescent="0.25">
      <c r="C31">
        <v>90</v>
      </c>
      <c r="D31">
        <v>70</v>
      </c>
      <c r="E31">
        <v>20</v>
      </c>
      <c r="F31">
        <v>3896</v>
      </c>
      <c r="G31">
        <f t="shared" si="0"/>
        <v>0.7142857142857143</v>
      </c>
      <c r="I31">
        <f t="shared" si="1"/>
        <v>60</v>
      </c>
      <c r="K31" t="s">
        <v>595</v>
      </c>
    </row>
    <row r="32" spans="3:11" x14ac:dyDescent="0.25">
      <c r="C32">
        <v>90</v>
      </c>
      <c r="D32">
        <v>70</v>
      </c>
      <c r="E32">
        <v>20</v>
      </c>
      <c r="F32">
        <v>5578</v>
      </c>
      <c r="G32">
        <f t="shared" si="0"/>
        <v>0.7142857142857143</v>
      </c>
      <c r="I32">
        <f t="shared" si="1"/>
        <v>60</v>
      </c>
      <c r="K32" t="s">
        <v>596</v>
      </c>
    </row>
    <row r="33" spans="3:11" x14ac:dyDescent="0.25">
      <c r="C33">
        <v>90</v>
      </c>
      <c r="D33">
        <v>70</v>
      </c>
      <c r="E33">
        <v>20</v>
      </c>
      <c r="F33">
        <v>3381</v>
      </c>
      <c r="G33">
        <f t="shared" si="0"/>
        <v>0.7142857142857143</v>
      </c>
      <c r="I33">
        <f t="shared" si="1"/>
        <v>60</v>
      </c>
      <c r="K33" t="s">
        <v>597</v>
      </c>
    </row>
    <row r="34" spans="3:11" x14ac:dyDescent="0.25">
      <c r="C34">
        <v>90</v>
      </c>
      <c r="D34">
        <v>70</v>
      </c>
      <c r="E34">
        <v>20</v>
      </c>
      <c r="F34">
        <v>4383</v>
      </c>
      <c r="G34">
        <f t="shared" si="0"/>
        <v>0.7142857142857143</v>
      </c>
      <c r="I34">
        <f t="shared" si="1"/>
        <v>60</v>
      </c>
      <c r="K34" t="s">
        <v>598</v>
      </c>
    </row>
    <row r="35" spans="3:11" x14ac:dyDescent="0.25">
      <c r="C35">
        <v>90</v>
      </c>
      <c r="D35">
        <v>70</v>
      </c>
      <c r="E35">
        <v>20</v>
      </c>
      <c r="F35">
        <v>6275</v>
      </c>
      <c r="G35">
        <f t="shared" si="0"/>
        <v>0.7142857142857143</v>
      </c>
      <c r="I35">
        <f t="shared" si="1"/>
        <v>60</v>
      </c>
      <c r="K35" t="s">
        <v>599</v>
      </c>
    </row>
    <row r="36" spans="3:11" x14ac:dyDescent="0.25">
      <c r="C36">
        <v>90</v>
      </c>
      <c r="D36">
        <v>70</v>
      </c>
      <c r="E36">
        <v>20</v>
      </c>
      <c r="F36">
        <v>3757</v>
      </c>
      <c r="G36">
        <f t="shared" si="0"/>
        <v>0.7142857142857143</v>
      </c>
      <c r="I36">
        <f t="shared" si="1"/>
        <v>60</v>
      </c>
      <c r="K36" t="s">
        <v>600</v>
      </c>
    </row>
    <row r="37" spans="3:11" x14ac:dyDescent="0.25">
      <c r="C37">
        <v>90</v>
      </c>
      <c r="D37">
        <v>70</v>
      </c>
      <c r="E37">
        <v>20</v>
      </c>
      <c r="F37">
        <v>4870</v>
      </c>
      <c r="G37">
        <f t="shared" si="0"/>
        <v>0.7142857142857143</v>
      </c>
      <c r="I37">
        <f t="shared" si="1"/>
        <v>60</v>
      </c>
      <c r="K37" t="s">
        <v>601</v>
      </c>
    </row>
    <row r="38" spans="3:11" x14ac:dyDescent="0.25">
      <c r="C38">
        <v>90</v>
      </c>
      <c r="D38">
        <v>70</v>
      </c>
      <c r="E38">
        <v>20</v>
      </c>
      <c r="F38">
        <v>6972</v>
      </c>
      <c r="G38">
        <f t="shared" si="0"/>
        <v>0.7142857142857143</v>
      </c>
      <c r="I38">
        <f t="shared" si="1"/>
        <v>60</v>
      </c>
      <c r="K38" t="s">
        <v>602</v>
      </c>
    </row>
    <row r="39" spans="3:11" x14ac:dyDescent="0.25">
      <c r="C39">
        <v>90</v>
      </c>
      <c r="D39">
        <v>70</v>
      </c>
      <c r="E39">
        <v>20</v>
      </c>
      <c r="F39">
        <v>4321</v>
      </c>
      <c r="G39">
        <f t="shared" si="0"/>
        <v>0.7142857142857143</v>
      </c>
      <c r="I39">
        <f t="shared" si="1"/>
        <v>60</v>
      </c>
      <c r="K39" t="s">
        <v>603</v>
      </c>
    </row>
    <row r="40" spans="3:11" x14ac:dyDescent="0.25">
      <c r="C40">
        <v>90</v>
      </c>
      <c r="D40">
        <v>70</v>
      </c>
      <c r="E40">
        <v>20</v>
      </c>
      <c r="F40">
        <v>5601</v>
      </c>
      <c r="G40">
        <f t="shared" si="0"/>
        <v>0.7142857142857143</v>
      </c>
      <c r="I40">
        <f t="shared" si="1"/>
        <v>60</v>
      </c>
      <c r="K40" t="s">
        <v>604</v>
      </c>
    </row>
    <row r="41" spans="3:11" x14ac:dyDescent="0.25">
      <c r="C41">
        <v>90</v>
      </c>
      <c r="D41">
        <v>70</v>
      </c>
      <c r="E41">
        <v>20</v>
      </c>
      <c r="F41">
        <v>6332</v>
      </c>
      <c r="G41">
        <f t="shared" si="0"/>
        <v>0.7142857142857143</v>
      </c>
      <c r="I41">
        <f t="shared" si="1"/>
        <v>60</v>
      </c>
      <c r="K41" t="s">
        <v>605</v>
      </c>
    </row>
    <row r="42" spans="3:11" x14ac:dyDescent="0.25">
      <c r="C42">
        <v>90</v>
      </c>
      <c r="D42">
        <v>70</v>
      </c>
      <c r="E42">
        <v>20</v>
      </c>
      <c r="F42">
        <v>7306</v>
      </c>
      <c r="G42">
        <f t="shared" si="0"/>
        <v>0.7142857142857143</v>
      </c>
      <c r="I42">
        <f t="shared" si="1"/>
        <v>60</v>
      </c>
      <c r="K42" t="s">
        <v>606</v>
      </c>
    </row>
    <row r="43" spans="3:11" x14ac:dyDescent="0.25">
      <c r="C43">
        <v>90</v>
      </c>
      <c r="D43">
        <v>70</v>
      </c>
      <c r="E43">
        <v>20</v>
      </c>
      <c r="F43">
        <v>548</v>
      </c>
      <c r="G43">
        <f t="shared" si="0"/>
        <v>0.7142857142857143</v>
      </c>
      <c r="I43">
        <f t="shared" si="1"/>
        <v>60</v>
      </c>
      <c r="K43" t="s">
        <v>607</v>
      </c>
    </row>
    <row r="44" spans="3:11" x14ac:dyDescent="0.25">
      <c r="C44">
        <v>90</v>
      </c>
      <c r="D44">
        <v>70</v>
      </c>
      <c r="E44">
        <v>20</v>
      </c>
      <c r="F44">
        <v>706</v>
      </c>
      <c r="G44">
        <f t="shared" si="0"/>
        <v>0.7142857142857143</v>
      </c>
      <c r="I44">
        <f t="shared" si="1"/>
        <v>60</v>
      </c>
      <c r="K44" t="s">
        <v>608</v>
      </c>
    </row>
    <row r="45" spans="3:11" x14ac:dyDescent="0.25">
      <c r="C45">
        <v>90</v>
      </c>
      <c r="D45">
        <v>70</v>
      </c>
      <c r="E45">
        <v>20</v>
      </c>
      <c r="F45">
        <v>684</v>
      </c>
      <c r="G45">
        <f t="shared" si="0"/>
        <v>0.7142857142857143</v>
      </c>
      <c r="I45">
        <f t="shared" si="1"/>
        <v>60</v>
      </c>
      <c r="K45" t="s">
        <v>609</v>
      </c>
    </row>
    <row r="46" spans="3:11" x14ac:dyDescent="0.25">
      <c r="C46">
        <v>90</v>
      </c>
      <c r="D46">
        <v>70</v>
      </c>
      <c r="E46">
        <v>20</v>
      </c>
      <c r="F46">
        <v>882</v>
      </c>
      <c r="G46">
        <f t="shared" si="0"/>
        <v>0.7142857142857143</v>
      </c>
      <c r="I46">
        <f t="shared" si="1"/>
        <v>60</v>
      </c>
      <c r="K46" t="s">
        <v>610</v>
      </c>
    </row>
    <row r="47" spans="3:11" x14ac:dyDescent="0.25">
      <c r="C47">
        <v>90</v>
      </c>
      <c r="D47">
        <v>70</v>
      </c>
      <c r="E47">
        <v>20</v>
      </c>
      <c r="F47">
        <v>821</v>
      </c>
      <c r="G47">
        <f t="shared" si="0"/>
        <v>0.7142857142857143</v>
      </c>
      <c r="I47">
        <f t="shared" si="1"/>
        <v>60</v>
      </c>
      <c r="K47" t="s">
        <v>611</v>
      </c>
    </row>
    <row r="48" spans="3:11" x14ac:dyDescent="0.25">
      <c r="C48">
        <v>90</v>
      </c>
      <c r="D48">
        <v>70</v>
      </c>
      <c r="E48">
        <v>20</v>
      </c>
      <c r="F48">
        <v>1058</v>
      </c>
      <c r="G48">
        <f t="shared" si="0"/>
        <v>0.7142857142857143</v>
      </c>
      <c r="I48">
        <f t="shared" si="1"/>
        <v>60</v>
      </c>
      <c r="K48" t="s">
        <v>612</v>
      </c>
    </row>
    <row r="49" spans="3:11" x14ac:dyDescent="0.25">
      <c r="C49">
        <v>90</v>
      </c>
      <c r="D49">
        <v>70</v>
      </c>
      <c r="E49">
        <v>20</v>
      </c>
      <c r="F49">
        <v>958</v>
      </c>
      <c r="G49">
        <f t="shared" si="0"/>
        <v>0.7142857142857143</v>
      </c>
      <c r="I49">
        <f t="shared" si="1"/>
        <v>60</v>
      </c>
      <c r="K49" t="s">
        <v>613</v>
      </c>
    </row>
    <row r="50" spans="3:11" x14ac:dyDescent="0.25">
      <c r="C50">
        <v>90</v>
      </c>
      <c r="D50">
        <v>70</v>
      </c>
      <c r="E50">
        <v>20</v>
      </c>
      <c r="F50">
        <v>1235</v>
      </c>
      <c r="G50">
        <f t="shared" si="0"/>
        <v>0.7142857142857143</v>
      </c>
      <c r="I50">
        <f t="shared" si="1"/>
        <v>60</v>
      </c>
      <c r="K50" t="s">
        <v>614</v>
      </c>
    </row>
    <row r="51" spans="3:11" x14ac:dyDescent="0.25">
      <c r="C51">
        <v>90</v>
      </c>
      <c r="D51">
        <v>70</v>
      </c>
      <c r="E51">
        <v>20</v>
      </c>
      <c r="F51">
        <v>1095</v>
      </c>
      <c r="G51">
        <f t="shared" si="0"/>
        <v>0.7142857142857143</v>
      </c>
      <c r="I51">
        <f t="shared" si="1"/>
        <v>60</v>
      </c>
      <c r="K51" t="s">
        <v>615</v>
      </c>
    </row>
    <row r="52" spans="3:11" x14ac:dyDescent="0.25">
      <c r="C52">
        <v>90</v>
      </c>
      <c r="D52">
        <v>70</v>
      </c>
      <c r="E52">
        <v>20</v>
      </c>
      <c r="F52">
        <v>1411</v>
      </c>
      <c r="G52">
        <f t="shared" si="0"/>
        <v>0.7142857142857143</v>
      </c>
      <c r="I52">
        <f t="shared" si="1"/>
        <v>60</v>
      </c>
      <c r="K52" t="s">
        <v>616</v>
      </c>
    </row>
    <row r="53" spans="3:11" x14ac:dyDescent="0.25">
      <c r="C53">
        <v>90</v>
      </c>
      <c r="D53">
        <v>70</v>
      </c>
      <c r="E53">
        <v>20</v>
      </c>
      <c r="F53">
        <v>1232</v>
      </c>
      <c r="G53">
        <f t="shared" si="0"/>
        <v>0.7142857142857143</v>
      </c>
      <c r="I53">
        <f t="shared" si="1"/>
        <v>60</v>
      </c>
      <c r="K53" t="s">
        <v>617</v>
      </c>
    </row>
    <row r="54" spans="3:11" x14ac:dyDescent="0.25">
      <c r="C54">
        <v>90</v>
      </c>
      <c r="D54">
        <v>70</v>
      </c>
      <c r="E54">
        <v>20</v>
      </c>
      <c r="F54">
        <v>1588</v>
      </c>
      <c r="G54">
        <f t="shared" si="0"/>
        <v>0.7142857142857143</v>
      </c>
      <c r="I54">
        <f t="shared" si="1"/>
        <v>60</v>
      </c>
      <c r="K54" t="s">
        <v>618</v>
      </c>
    </row>
    <row r="55" spans="3:11" x14ac:dyDescent="0.25">
      <c r="C55">
        <v>90</v>
      </c>
      <c r="D55">
        <v>70</v>
      </c>
      <c r="E55">
        <v>20</v>
      </c>
      <c r="F55">
        <v>1369</v>
      </c>
      <c r="G55">
        <f t="shared" si="0"/>
        <v>0.7142857142857143</v>
      </c>
      <c r="I55">
        <f t="shared" si="1"/>
        <v>60</v>
      </c>
      <c r="K55" t="s">
        <v>619</v>
      </c>
    </row>
    <row r="56" spans="3:11" x14ac:dyDescent="0.25">
      <c r="C56">
        <v>90</v>
      </c>
      <c r="D56">
        <v>70</v>
      </c>
      <c r="E56">
        <v>20</v>
      </c>
      <c r="F56">
        <v>1764</v>
      </c>
      <c r="G56">
        <f t="shared" si="0"/>
        <v>0.7142857142857143</v>
      </c>
      <c r="I56">
        <f t="shared" si="1"/>
        <v>60</v>
      </c>
      <c r="K56" t="s">
        <v>620</v>
      </c>
    </row>
    <row r="57" spans="3:11" x14ac:dyDescent="0.25">
      <c r="C57">
        <v>90</v>
      </c>
      <c r="D57">
        <v>70</v>
      </c>
      <c r="E57">
        <v>20</v>
      </c>
      <c r="F57">
        <v>1506</v>
      </c>
      <c r="G57">
        <f t="shared" si="0"/>
        <v>0.7142857142857143</v>
      </c>
      <c r="I57">
        <f t="shared" si="1"/>
        <v>60</v>
      </c>
      <c r="K57" t="s">
        <v>621</v>
      </c>
    </row>
    <row r="58" spans="3:11" x14ac:dyDescent="0.25">
      <c r="C58">
        <v>90</v>
      </c>
      <c r="D58">
        <v>70</v>
      </c>
      <c r="E58">
        <v>20</v>
      </c>
      <c r="F58">
        <v>1941</v>
      </c>
      <c r="G58">
        <f t="shared" si="0"/>
        <v>0.7142857142857143</v>
      </c>
      <c r="I58">
        <f t="shared" si="1"/>
        <v>60</v>
      </c>
      <c r="K58" t="s">
        <v>622</v>
      </c>
    </row>
    <row r="59" spans="3:11" x14ac:dyDescent="0.25">
      <c r="C59">
        <v>90</v>
      </c>
      <c r="D59">
        <v>70</v>
      </c>
      <c r="E59">
        <v>20</v>
      </c>
      <c r="F59">
        <v>1643</v>
      </c>
      <c r="G59">
        <f t="shared" si="0"/>
        <v>0.7142857142857143</v>
      </c>
      <c r="I59">
        <f t="shared" si="1"/>
        <v>60</v>
      </c>
      <c r="K59" t="s">
        <v>623</v>
      </c>
    </row>
    <row r="60" spans="3:11" x14ac:dyDescent="0.25">
      <c r="C60">
        <v>90</v>
      </c>
      <c r="D60">
        <v>70</v>
      </c>
      <c r="E60">
        <v>20</v>
      </c>
      <c r="F60">
        <v>2117</v>
      </c>
      <c r="G60">
        <f t="shared" si="0"/>
        <v>0.7142857142857143</v>
      </c>
      <c r="I60">
        <f t="shared" si="1"/>
        <v>60</v>
      </c>
      <c r="K60" t="s">
        <v>624</v>
      </c>
    </row>
    <row r="61" spans="3:11" x14ac:dyDescent="0.25">
      <c r="C61">
        <v>90</v>
      </c>
      <c r="D61">
        <v>70</v>
      </c>
      <c r="E61">
        <v>20</v>
      </c>
      <c r="F61">
        <v>1916</v>
      </c>
      <c r="G61">
        <f t="shared" si="0"/>
        <v>0.7142857142857143</v>
      </c>
      <c r="I61">
        <f t="shared" si="1"/>
        <v>60</v>
      </c>
      <c r="K61" t="s">
        <v>625</v>
      </c>
    </row>
    <row r="62" spans="3:11" x14ac:dyDescent="0.25">
      <c r="C62">
        <v>90</v>
      </c>
      <c r="D62">
        <v>70</v>
      </c>
      <c r="E62">
        <v>20</v>
      </c>
      <c r="F62">
        <v>2470</v>
      </c>
      <c r="G62">
        <f t="shared" si="0"/>
        <v>0.7142857142857143</v>
      </c>
      <c r="I62">
        <f t="shared" si="1"/>
        <v>60</v>
      </c>
      <c r="K62" t="s">
        <v>626</v>
      </c>
    </row>
    <row r="63" spans="3:11" x14ac:dyDescent="0.25">
      <c r="C63">
        <v>90</v>
      </c>
      <c r="D63">
        <v>70</v>
      </c>
      <c r="E63">
        <v>20</v>
      </c>
      <c r="F63">
        <v>2190</v>
      </c>
      <c r="G63">
        <f t="shared" si="0"/>
        <v>0.7142857142857143</v>
      </c>
      <c r="I63">
        <f t="shared" si="1"/>
        <v>60</v>
      </c>
      <c r="K63" t="s">
        <v>627</v>
      </c>
    </row>
    <row r="64" spans="3:11" x14ac:dyDescent="0.25">
      <c r="C64">
        <v>90</v>
      </c>
      <c r="D64">
        <v>70</v>
      </c>
      <c r="E64">
        <v>20</v>
      </c>
      <c r="F64">
        <v>2823</v>
      </c>
      <c r="G64">
        <f t="shared" si="0"/>
        <v>0.7142857142857143</v>
      </c>
      <c r="I64">
        <f t="shared" si="1"/>
        <v>60</v>
      </c>
      <c r="K64" t="s">
        <v>628</v>
      </c>
    </row>
    <row r="65" spans="3:11" x14ac:dyDescent="0.25">
      <c r="C65">
        <v>90</v>
      </c>
      <c r="D65">
        <v>70</v>
      </c>
      <c r="E65">
        <v>20</v>
      </c>
      <c r="F65">
        <v>2464</v>
      </c>
      <c r="G65">
        <f t="shared" si="0"/>
        <v>0.7142857142857143</v>
      </c>
      <c r="I65">
        <f t="shared" si="1"/>
        <v>60</v>
      </c>
      <c r="K65" t="s">
        <v>629</v>
      </c>
    </row>
    <row r="66" spans="3:11" x14ac:dyDescent="0.25">
      <c r="C66">
        <v>90</v>
      </c>
      <c r="D66">
        <v>70</v>
      </c>
      <c r="E66">
        <v>20</v>
      </c>
      <c r="F66">
        <v>3175</v>
      </c>
      <c r="G66">
        <f t="shared" si="0"/>
        <v>0.7142857142857143</v>
      </c>
      <c r="I66">
        <f t="shared" si="1"/>
        <v>60</v>
      </c>
      <c r="K66" t="s">
        <v>630</v>
      </c>
    </row>
    <row r="67" spans="3:11" x14ac:dyDescent="0.25">
      <c r="C67">
        <v>90</v>
      </c>
      <c r="D67">
        <v>70</v>
      </c>
      <c r="E67">
        <v>20</v>
      </c>
      <c r="F67">
        <v>2738</v>
      </c>
      <c r="G67">
        <f t="shared" ref="G67:G120" si="2">(D67-E67)/(C67-E67)</f>
        <v>0.7142857142857143</v>
      </c>
      <c r="I67">
        <f t="shared" ref="I67:I120" si="3">IF(G67&gt;=0.7,(C67+D67)/2-E67,(C67-D67)/(LN((C67-E67)/(D67-E67))))</f>
        <v>60</v>
      </c>
      <c r="K67" t="s">
        <v>631</v>
      </c>
    </row>
    <row r="68" spans="3:11" x14ac:dyDescent="0.25">
      <c r="C68">
        <v>90</v>
      </c>
      <c r="D68">
        <v>70</v>
      </c>
      <c r="E68">
        <v>20</v>
      </c>
      <c r="F68">
        <v>3528</v>
      </c>
      <c r="G68">
        <f t="shared" si="2"/>
        <v>0.7142857142857143</v>
      </c>
      <c r="I68">
        <f t="shared" si="3"/>
        <v>60</v>
      </c>
      <c r="K68" t="s">
        <v>632</v>
      </c>
    </row>
    <row r="69" spans="3:11" x14ac:dyDescent="0.25">
      <c r="C69">
        <v>90</v>
      </c>
      <c r="D69">
        <v>70</v>
      </c>
      <c r="E69">
        <v>20</v>
      </c>
      <c r="F69">
        <v>938</v>
      </c>
      <c r="G69">
        <f t="shared" si="2"/>
        <v>0.7142857142857143</v>
      </c>
      <c r="I69">
        <f t="shared" si="3"/>
        <v>60</v>
      </c>
      <c r="K69" t="s">
        <v>633</v>
      </c>
    </row>
    <row r="70" spans="3:11" x14ac:dyDescent="0.25">
      <c r="C70">
        <v>90</v>
      </c>
      <c r="D70">
        <v>70</v>
      </c>
      <c r="E70">
        <v>20</v>
      </c>
      <c r="F70">
        <v>1655</v>
      </c>
      <c r="G70">
        <f t="shared" si="2"/>
        <v>0.7142857142857143</v>
      </c>
      <c r="I70">
        <f t="shared" si="3"/>
        <v>60</v>
      </c>
      <c r="K70" t="s">
        <v>634</v>
      </c>
    </row>
    <row r="71" spans="3:11" x14ac:dyDescent="0.25">
      <c r="C71">
        <v>90</v>
      </c>
      <c r="D71">
        <v>70</v>
      </c>
      <c r="E71">
        <v>20</v>
      </c>
      <c r="F71">
        <v>1172</v>
      </c>
      <c r="G71">
        <f t="shared" si="2"/>
        <v>0.7142857142857143</v>
      </c>
      <c r="I71">
        <f t="shared" si="3"/>
        <v>60</v>
      </c>
      <c r="K71" t="s">
        <v>635</v>
      </c>
    </row>
    <row r="72" spans="3:11" x14ac:dyDescent="0.25">
      <c r="C72">
        <v>90</v>
      </c>
      <c r="D72">
        <v>70</v>
      </c>
      <c r="E72">
        <v>20</v>
      </c>
      <c r="F72">
        <v>2069</v>
      </c>
      <c r="G72">
        <f t="shared" si="2"/>
        <v>0.7142857142857143</v>
      </c>
      <c r="I72">
        <f t="shared" si="3"/>
        <v>60</v>
      </c>
      <c r="K72" t="s">
        <v>636</v>
      </c>
    </row>
    <row r="73" spans="3:11" x14ac:dyDescent="0.25">
      <c r="C73">
        <v>90</v>
      </c>
      <c r="D73">
        <v>70</v>
      </c>
      <c r="E73">
        <v>20</v>
      </c>
      <c r="F73">
        <v>1407</v>
      </c>
      <c r="G73">
        <f t="shared" si="2"/>
        <v>0.7142857142857143</v>
      </c>
      <c r="I73">
        <f t="shared" si="3"/>
        <v>60</v>
      </c>
      <c r="K73" t="s">
        <v>637</v>
      </c>
    </row>
    <row r="74" spans="3:11" x14ac:dyDescent="0.25">
      <c r="C74">
        <v>90</v>
      </c>
      <c r="D74">
        <v>70</v>
      </c>
      <c r="E74">
        <v>20</v>
      </c>
      <c r="F74">
        <v>2483</v>
      </c>
      <c r="G74">
        <f t="shared" si="2"/>
        <v>0.7142857142857143</v>
      </c>
      <c r="I74">
        <f t="shared" si="3"/>
        <v>60</v>
      </c>
      <c r="K74" t="s">
        <v>638</v>
      </c>
    </row>
    <row r="75" spans="3:11" x14ac:dyDescent="0.25">
      <c r="C75">
        <v>90</v>
      </c>
      <c r="D75">
        <v>70</v>
      </c>
      <c r="E75">
        <v>20</v>
      </c>
      <c r="F75">
        <v>1641</v>
      </c>
      <c r="G75">
        <f t="shared" si="2"/>
        <v>0.7142857142857143</v>
      </c>
      <c r="I75">
        <f t="shared" si="3"/>
        <v>60</v>
      </c>
      <c r="K75" t="s">
        <v>639</v>
      </c>
    </row>
    <row r="76" spans="3:11" x14ac:dyDescent="0.25">
      <c r="C76">
        <v>90</v>
      </c>
      <c r="D76">
        <v>70</v>
      </c>
      <c r="E76">
        <v>20</v>
      </c>
      <c r="F76">
        <v>2896</v>
      </c>
      <c r="G76">
        <f t="shared" si="2"/>
        <v>0.7142857142857143</v>
      </c>
      <c r="I76">
        <f t="shared" si="3"/>
        <v>60</v>
      </c>
      <c r="K76" t="s">
        <v>640</v>
      </c>
    </row>
    <row r="77" spans="3:11" x14ac:dyDescent="0.25">
      <c r="C77">
        <v>90</v>
      </c>
      <c r="D77">
        <v>70</v>
      </c>
      <c r="E77">
        <v>20</v>
      </c>
      <c r="F77">
        <v>1876</v>
      </c>
      <c r="G77">
        <f t="shared" si="2"/>
        <v>0.7142857142857143</v>
      </c>
      <c r="I77">
        <f t="shared" si="3"/>
        <v>60</v>
      </c>
      <c r="K77" t="s">
        <v>641</v>
      </c>
    </row>
    <row r="78" spans="3:11" x14ac:dyDescent="0.25">
      <c r="C78">
        <v>90</v>
      </c>
      <c r="D78">
        <v>70</v>
      </c>
      <c r="E78">
        <v>20</v>
      </c>
      <c r="F78">
        <v>2700</v>
      </c>
      <c r="G78">
        <f t="shared" si="2"/>
        <v>0.7142857142857143</v>
      </c>
      <c r="I78">
        <f t="shared" si="3"/>
        <v>60</v>
      </c>
      <c r="K78" t="s">
        <v>642</v>
      </c>
    </row>
    <row r="79" spans="3:11" x14ac:dyDescent="0.25">
      <c r="C79">
        <v>90</v>
      </c>
      <c r="D79">
        <v>70</v>
      </c>
      <c r="E79">
        <v>20</v>
      </c>
      <c r="F79">
        <v>2110</v>
      </c>
      <c r="G79">
        <f t="shared" si="2"/>
        <v>0.7142857142857143</v>
      </c>
      <c r="I79">
        <f t="shared" si="3"/>
        <v>60</v>
      </c>
      <c r="K79" t="s">
        <v>643</v>
      </c>
    </row>
    <row r="80" spans="3:11" x14ac:dyDescent="0.25">
      <c r="C80">
        <v>90</v>
      </c>
      <c r="D80">
        <v>70</v>
      </c>
      <c r="E80">
        <v>20</v>
      </c>
      <c r="F80">
        <v>3038</v>
      </c>
      <c r="G80">
        <f t="shared" si="2"/>
        <v>0.7142857142857143</v>
      </c>
      <c r="I80">
        <f t="shared" si="3"/>
        <v>60</v>
      </c>
      <c r="K80" t="s">
        <v>644</v>
      </c>
    </row>
    <row r="81" spans="3:11" x14ac:dyDescent="0.25">
      <c r="C81">
        <v>90</v>
      </c>
      <c r="D81">
        <v>70</v>
      </c>
      <c r="E81">
        <v>20</v>
      </c>
      <c r="F81">
        <v>2345</v>
      </c>
      <c r="G81">
        <f t="shared" si="2"/>
        <v>0.7142857142857143</v>
      </c>
      <c r="I81">
        <f t="shared" si="3"/>
        <v>60</v>
      </c>
      <c r="K81" t="s">
        <v>645</v>
      </c>
    </row>
    <row r="82" spans="3:11" x14ac:dyDescent="0.25">
      <c r="C82">
        <v>90</v>
      </c>
      <c r="D82">
        <v>70</v>
      </c>
      <c r="E82">
        <v>20</v>
      </c>
      <c r="F82">
        <v>3375</v>
      </c>
      <c r="G82">
        <f t="shared" si="2"/>
        <v>0.7142857142857143</v>
      </c>
      <c r="I82">
        <f t="shared" si="3"/>
        <v>60</v>
      </c>
      <c r="K82" t="s">
        <v>646</v>
      </c>
    </row>
    <row r="83" spans="3:11" x14ac:dyDescent="0.25">
      <c r="C83">
        <v>90</v>
      </c>
      <c r="D83">
        <v>70</v>
      </c>
      <c r="E83">
        <v>20</v>
      </c>
      <c r="F83">
        <v>2579</v>
      </c>
      <c r="G83">
        <f t="shared" si="2"/>
        <v>0.7142857142857143</v>
      </c>
      <c r="I83">
        <f t="shared" si="3"/>
        <v>60</v>
      </c>
      <c r="K83" t="s">
        <v>647</v>
      </c>
    </row>
    <row r="84" spans="3:11" x14ac:dyDescent="0.25">
      <c r="C84">
        <v>90</v>
      </c>
      <c r="D84">
        <v>70</v>
      </c>
      <c r="E84">
        <v>20</v>
      </c>
      <c r="F84">
        <v>3713</v>
      </c>
      <c r="G84">
        <f t="shared" si="2"/>
        <v>0.7142857142857143</v>
      </c>
      <c r="I84">
        <f t="shared" si="3"/>
        <v>60</v>
      </c>
      <c r="K84" t="s">
        <v>648</v>
      </c>
    </row>
    <row r="85" spans="3:11" x14ac:dyDescent="0.25">
      <c r="C85">
        <v>90</v>
      </c>
      <c r="D85">
        <v>70</v>
      </c>
      <c r="E85">
        <v>20</v>
      </c>
      <c r="F85">
        <v>2814</v>
      </c>
      <c r="G85">
        <f t="shared" si="2"/>
        <v>0.7142857142857143</v>
      </c>
      <c r="I85">
        <f t="shared" si="3"/>
        <v>60</v>
      </c>
      <c r="K85" t="s">
        <v>649</v>
      </c>
    </row>
    <row r="86" spans="3:11" x14ac:dyDescent="0.25">
      <c r="C86">
        <v>90</v>
      </c>
      <c r="D86">
        <v>70</v>
      </c>
      <c r="E86">
        <v>20</v>
      </c>
      <c r="F86">
        <v>4051</v>
      </c>
      <c r="G86">
        <f t="shared" si="2"/>
        <v>0.7142857142857143</v>
      </c>
      <c r="I86">
        <f t="shared" si="3"/>
        <v>60</v>
      </c>
      <c r="K86" t="s">
        <v>650</v>
      </c>
    </row>
    <row r="87" spans="3:11" x14ac:dyDescent="0.25">
      <c r="C87">
        <v>90</v>
      </c>
      <c r="D87">
        <v>70</v>
      </c>
      <c r="E87">
        <v>20</v>
      </c>
      <c r="F87">
        <v>3283</v>
      </c>
      <c r="G87">
        <f t="shared" si="2"/>
        <v>0.7142857142857143</v>
      </c>
      <c r="I87">
        <f t="shared" si="3"/>
        <v>60</v>
      </c>
      <c r="K87" t="s">
        <v>651</v>
      </c>
    </row>
    <row r="88" spans="3:11" x14ac:dyDescent="0.25">
      <c r="C88">
        <v>90</v>
      </c>
      <c r="D88">
        <v>70</v>
      </c>
      <c r="E88">
        <v>20</v>
      </c>
      <c r="F88">
        <v>4726</v>
      </c>
      <c r="G88">
        <f t="shared" si="2"/>
        <v>0.7142857142857143</v>
      </c>
      <c r="I88">
        <f t="shared" si="3"/>
        <v>60</v>
      </c>
      <c r="K88" t="s">
        <v>652</v>
      </c>
    </row>
    <row r="89" spans="3:11" x14ac:dyDescent="0.25">
      <c r="C89">
        <v>90</v>
      </c>
      <c r="D89">
        <v>70</v>
      </c>
      <c r="E89">
        <v>20</v>
      </c>
      <c r="F89">
        <v>3752</v>
      </c>
      <c r="G89">
        <f t="shared" si="2"/>
        <v>0.7142857142857143</v>
      </c>
      <c r="I89">
        <f t="shared" si="3"/>
        <v>60</v>
      </c>
      <c r="K89" t="s">
        <v>653</v>
      </c>
    </row>
    <row r="90" spans="3:11" x14ac:dyDescent="0.25">
      <c r="C90">
        <v>90</v>
      </c>
      <c r="D90">
        <v>70</v>
      </c>
      <c r="E90">
        <v>20</v>
      </c>
      <c r="F90">
        <v>5401</v>
      </c>
      <c r="G90">
        <f t="shared" si="2"/>
        <v>0.7142857142857143</v>
      </c>
      <c r="I90">
        <f t="shared" si="3"/>
        <v>60</v>
      </c>
      <c r="K90" t="s">
        <v>654</v>
      </c>
    </row>
    <row r="91" spans="3:11" x14ac:dyDescent="0.25">
      <c r="C91">
        <v>90</v>
      </c>
      <c r="D91">
        <v>70</v>
      </c>
      <c r="E91">
        <v>20</v>
      </c>
      <c r="F91">
        <v>4220</v>
      </c>
      <c r="G91">
        <f t="shared" si="2"/>
        <v>0.7142857142857143</v>
      </c>
      <c r="I91">
        <f t="shared" si="3"/>
        <v>60</v>
      </c>
      <c r="K91" t="s">
        <v>655</v>
      </c>
    </row>
    <row r="92" spans="3:11" x14ac:dyDescent="0.25">
      <c r="C92">
        <v>90</v>
      </c>
      <c r="D92">
        <v>70</v>
      </c>
      <c r="E92">
        <v>20</v>
      </c>
      <c r="F92">
        <v>6076</v>
      </c>
      <c r="G92">
        <f t="shared" si="2"/>
        <v>0.7142857142857143</v>
      </c>
      <c r="I92">
        <f t="shared" si="3"/>
        <v>60</v>
      </c>
      <c r="K92" t="s">
        <v>656</v>
      </c>
    </row>
    <row r="93" spans="3:11" x14ac:dyDescent="0.25">
      <c r="C93">
        <v>90</v>
      </c>
      <c r="D93">
        <v>70</v>
      </c>
      <c r="E93">
        <v>20</v>
      </c>
      <c r="F93">
        <v>4689</v>
      </c>
      <c r="G93">
        <f t="shared" si="2"/>
        <v>0.7142857142857143</v>
      </c>
      <c r="I93">
        <f t="shared" si="3"/>
        <v>60</v>
      </c>
      <c r="K93" t="s">
        <v>657</v>
      </c>
    </row>
    <row r="94" spans="3:11" x14ac:dyDescent="0.25">
      <c r="C94">
        <v>90</v>
      </c>
      <c r="D94">
        <v>70</v>
      </c>
      <c r="E94">
        <v>20</v>
      </c>
      <c r="F94">
        <v>6751</v>
      </c>
      <c r="G94">
        <f t="shared" si="2"/>
        <v>0.7142857142857143</v>
      </c>
      <c r="I94">
        <f t="shared" si="3"/>
        <v>60</v>
      </c>
      <c r="K94" t="s">
        <v>658</v>
      </c>
    </row>
    <row r="95" spans="3:11" x14ac:dyDescent="0.25">
      <c r="C95">
        <v>90</v>
      </c>
      <c r="D95">
        <v>70</v>
      </c>
      <c r="E95">
        <v>20</v>
      </c>
      <c r="F95">
        <v>548</v>
      </c>
      <c r="G95">
        <f t="shared" si="2"/>
        <v>0.7142857142857143</v>
      </c>
      <c r="I95">
        <f t="shared" si="3"/>
        <v>60</v>
      </c>
      <c r="K95" t="s">
        <v>659</v>
      </c>
    </row>
    <row r="96" spans="3:11" x14ac:dyDescent="0.25">
      <c r="C96">
        <v>90</v>
      </c>
      <c r="D96">
        <v>70</v>
      </c>
      <c r="E96">
        <v>20</v>
      </c>
      <c r="F96">
        <v>706</v>
      </c>
      <c r="G96">
        <f t="shared" si="2"/>
        <v>0.7142857142857143</v>
      </c>
      <c r="I96">
        <f t="shared" si="3"/>
        <v>60</v>
      </c>
      <c r="K96" t="s">
        <v>660</v>
      </c>
    </row>
    <row r="97" spans="3:11" x14ac:dyDescent="0.25">
      <c r="C97">
        <v>90</v>
      </c>
      <c r="D97">
        <v>70</v>
      </c>
      <c r="E97">
        <v>20</v>
      </c>
      <c r="F97">
        <v>684</v>
      </c>
      <c r="G97">
        <f t="shared" si="2"/>
        <v>0.7142857142857143</v>
      </c>
      <c r="I97">
        <f t="shared" si="3"/>
        <v>60</v>
      </c>
      <c r="K97" t="s">
        <v>661</v>
      </c>
    </row>
    <row r="98" spans="3:11" x14ac:dyDescent="0.25">
      <c r="C98">
        <v>90</v>
      </c>
      <c r="D98">
        <v>70</v>
      </c>
      <c r="E98">
        <v>20</v>
      </c>
      <c r="F98">
        <v>882</v>
      </c>
      <c r="G98">
        <f t="shared" si="2"/>
        <v>0.7142857142857143</v>
      </c>
      <c r="I98">
        <f t="shared" si="3"/>
        <v>60</v>
      </c>
      <c r="K98" t="s">
        <v>662</v>
      </c>
    </row>
    <row r="99" spans="3:11" x14ac:dyDescent="0.25">
      <c r="C99">
        <v>90</v>
      </c>
      <c r="D99">
        <v>70</v>
      </c>
      <c r="E99">
        <v>20</v>
      </c>
      <c r="F99">
        <v>821</v>
      </c>
      <c r="G99">
        <f t="shared" si="2"/>
        <v>0.7142857142857143</v>
      </c>
      <c r="I99">
        <f t="shared" si="3"/>
        <v>60</v>
      </c>
      <c r="K99" t="s">
        <v>663</v>
      </c>
    </row>
    <row r="100" spans="3:11" x14ac:dyDescent="0.25">
      <c r="C100">
        <v>90</v>
      </c>
      <c r="D100">
        <v>70</v>
      </c>
      <c r="E100">
        <v>20</v>
      </c>
      <c r="F100">
        <v>1058</v>
      </c>
      <c r="G100">
        <f t="shared" si="2"/>
        <v>0.7142857142857143</v>
      </c>
      <c r="I100">
        <f t="shared" si="3"/>
        <v>60</v>
      </c>
      <c r="K100" t="s">
        <v>664</v>
      </c>
    </row>
    <row r="101" spans="3:11" x14ac:dyDescent="0.25">
      <c r="C101">
        <v>90</v>
      </c>
      <c r="D101">
        <v>70</v>
      </c>
      <c r="E101">
        <v>20</v>
      </c>
      <c r="F101">
        <v>958</v>
      </c>
      <c r="G101">
        <f t="shared" si="2"/>
        <v>0.7142857142857143</v>
      </c>
      <c r="I101">
        <f t="shared" si="3"/>
        <v>60</v>
      </c>
      <c r="K101" t="s">
        <v>665</v>
      </c>
    </row>
    <row r="102" spans="3:11" x14ac:dyDescent="0.25">
      <c r="C102">
        <v>90</v>
      </c>
      <c r="D102">
        <v>70</v>
      </c>
      <c r="E102">
        <v>20</v>
      </c>
      <c r="F102">
        <v>1235</v>
      </c>
      <c r="G102">
        <f t="shared" si="2"/>
        <v>0.7142857142857143</v>
      </c>
      <c r="I102">
        <f t="shared" si="3"/>
        <v>60</v>
      </c>
      <c r="K102" t="s">
        <v>666</v>
      </c>
    </row>
    <row r="103" spans="3:11" x14ac:dyDescent="0.25">
      <c r="C103">
        <v>90</v>
      </c>
      <c r="D103">
        <v>70</v>
      </c>
      <c r="E103">
        <v>20</v>
      </c>
      <c r="F103">
        <v>1095</v>
      </c>
      <c r="G103">
        <f t="shared" si="2"/>
        <v>0.7142857142857143</v>
      </c>
      <c r="I103">
        <f t="shared" si="3"/>
        <v>60</v>
      </c>
      <c r="K103" t="s">
        <v>667</v>
      </c>
    </row>
    <row r="104" spans="3:11" x14ac:dyDescent="0.25">
      <c r="C104">
        <v>90</v>
      </c>
      <c r="D104">
        <v>70</v>
      </c>
      <c r="E104">
        <v>20</v>
      </c>
      <c r="F104">
        <v>1411</v>
      </c>
      <c r="G104">
        <f t="shared" si="2"/>
        <v>0.7142857142857143</v>
      </c>
      <c r="I104">
        <f t="shared" si="3"/>
        <v>60</v>
      </c>
      <c r="K104" t="s">
        <v>668</v>
      </c>
    </row>
    <row r="105" spans="3:11" x14ac:dyDescent="0.25">
      <c r="C105">
        <v>90</v>
      </c>
      <c r="D105">
        <v>70</v>
      </c>
      <c r="E105">
        <v>20</v>
      </c>
      <c r="F105">
        <v>1232</v>
      </c>
      <c r="G105">
        <f t="shared" si="2"/>
        <v>0.7142857142857143</v>
      </c>
      <c r="I105">
        <f t="shared" si="3"/>
        <v>60</v>
      </c>
      <c r="K105" t="s">
        <v>669</v>
      </c>
    </row>
    <row r="106" spans="3:11" x14ac:dyDescent="0.25">
      <c r="C106">
        <v>90</v>
      </c>
      <c r="D106">
        <v>70</v>
      </c>
      <c r="E106">
        <v>20</v>
      </c>
      <c r="F106">
        <v>1588</v>
      </c>
      <c r="G106">
        <f t="shared" si="2"/>
        <v>0.7142857142857143</v>
      </c>
      <c r="I106">
        <f t="shared" si="3"/>
        <v>60</v>
      </c>
      <c r="K106" t="s">
        <v>670</v>
      </c>
    </row>
    <row r="107" spans="3:11" x14ac:dyDescent="0.25">
      <c r="C107">
        <v>90</v>
      </c>
      <c r="D107">
        <v>70</v>
      </c>
      <c r="E107">
        <v>20</v>
      </c>
      <c r="F107">
        <v>1369</v>
      </c>
      <c r="G107">
        <f t="shared" si="2"/>
        <v>0.7142857142857143</v>
      </c>
      <c r="I107">
        <f t="shared" si="3"/>
        <v>60</v>
      </c>
      <c r="K107" t="s">
        <v>671</v>
      </c>
    </row>
    <row r="108" spans="3:11" x14ac:dyDescent="0.25">
      <c r="C108">
        <v>90</v>
      </c>
      <c r="D108">
        <v>70</v>
      </c>
      <c r="E108">
        <v>20</v>
      </c>
      <c r="F108">
        <v>1764</v>
      </c>
      <c r="G108">
        <f t="shared" si="2"/>
        <v>0.7142857142857143</v>
      </c>
      <c r="I108">
        <f t="shared" si="3"/>
        <v>60</v>
      </c>
      <c r="K108" t="s">
        <v>672</v>
      </c>
    </row>
    <row r="109" spans="3:11" x14ac:dyDescent="0.25">
      <c r="C109">
        <v>90</v>
      </c>
      <c r="D109">
        <v>70</v>
      </c>
      <c r="E109">
        <v>20</v>
      </c>
      <c r="F109">
        <v>1506</v>
      </c>
      <c r="G109">
        <f t="shared" si="2"/>
        <v>0.7142857142857143</v>
      </c>
      <c r="I109">
        <f t="shared" si="3"/>
        <v>60</v>
      </c>
      <c r="K109" t="s">
        <v>673</v>
      </c>
    </row>
    <row r="110" spans="3:11" x14ac:dyDescent="0.25">
      <c r="C110">
        <v>90</v>
      </c>
      <c r="D110">
        <v>70</v>
      </c>
      <c r="E110">
        <v>20</v>
      </c>
      <c r="F110">
        <v>1941</v>
      </c>
      <c r="G110">
        <f t="shared" si="2"/>
        <v>0.7142857142857143</v>
      </c>
      <c r="I110">
        <f t="shared" si="3"/>
        <v>60</v>
      </c>
      <c r="K110" t="s">
        <v>674</v>
      </c>
    </row>
    <row r="111" spans="3:11" x14ac:dyDescent="0.25">
      <c r="C111">
        <v>90</v>
      </c>
      <c r="D111">
        <v>70</v>
      </c>
      <c r="E111">
        <v>20</v>
      </c>
      <c r="F111">
        <v>1643</v>
      </c>
      <c r="G111">
        <f t="shared" si="2"/>
        <v>0.7142857142857143</v>
      </c>
      <c r="I111">
        <f t="shared" si="3"/>
        <v>60</v>
      </c>
      <c r="K111" t="s">
        <v>675</v>
      </c>
    </row>
    <row r="112" spans="3:11" x14ac:dyDescent="0.25">
      <c r="C112">
        <v>90</v>
      </c>
      <c r="D112">
        <v>70</v>
      </c>
      <c r="E112">
        <v>20</v>
      </c>
      <c r="F112">
        <v>2117</v>
      </c>
      <c r="G112">
        <f t="shared" si="2"/>
        <v>0.7142857142857143</v>
      </c>
      <c r="I112">
        <f t="shared" si="3"/>
        <v>60</v>
      </c>
      <c r="K112" t="s">
        <v>676</v>
      </c>
    </row>
    <row r="113" spans="3:11" x14ac:dyDescent="0.25">
      <c r="C113">
        <v>90</v>
      </c>
      <c r="D113">
        <v>70</v>
      </c>
      <c r="E113">
        <v>20</v>
      </c>
      <c r="F113">
        <v>1916</v>
      </c>
      <c r="G113">
        <f t="shared" si="2"/>
        <v>0.7142857142857143</v>
      </c>
      <c r="I113">
        <f t="shared" si="3"/>
        <v>60</v>
      </c>
      <c r="K113" t="s">
        <v>677</v>
      </c>
    </row>
    <row r="114" spans="3:11" x14ac:dyDescent="0.25">
      <c r="C114">
        <v>90</v>
      </c>
      <c r="D114">
        <v>70</v>
      </c>
      <c r="E114">
        <v>20</v>
      </c>
      <c r="F114">
        <v>2470</v>
      </c>
      <c r="G114">
        <f t="shared" si="2"/>
        <v>0.7142857142857143</v>
      </c>
      <c r="I114">
        <f t="shared" si="3"/>
        <v>60</v>
      </c>
      <c r="K114" t="s">
        <v>678</v>
      </c>
    </row>
    <row r="115" spans="3:11" x14ac:dyDescent="0.25">
      <c r="C115">
        <v>90</v>
      </c>
      <c r="D115">
        <v>70</v>
      </c>
      <c r="E115">
        <v>20</v>
      </c>
      <c r="F115">
        <v>2190</v>
      </c>
      <c r="G115">
        <f t="shared" si="2"/>
        <v>0.7142857142857143</v>
      </c>
      <c r="I115">
        <f t="shared" si="3"/>
        <v>60</v>
      </c>
      <c r="K115" t="s">
        <v>679</v>
      </c>
    </row>
    <row r="116" spans="3:11" x14ac:dyDescent="0.25">
      <c r="C116">
        <v>90</v>
      </c>
      <c r="D116">
        <v>70</v>
      </c>
      <c r="E116">
        <v>20</v>
      </c>
      <c r="F116">
        <v>2823</v>
      </c>
      <c r="G116">
        <f t="shared" si="2"/>
        <v>0.7142857142857143</v>
      </c>
      <c r="I116">
        <f t="shared" si="3"/>
        <v>60</v>
      </c>
      <c r="K116" t="s">
        <v>680</v>
      </c>
    </row>
    <row r="117" spans="3:11" x14ac:dyDescent="0.25">
      <c r="C117">
        <v>90</v>
      </c>
      <c r="D117">
        <v>70</v>
      </c>
      <c r="E117">
        <v>20</v>
      </c>
      <c r="F117">
        <v>2464</v>
      </c>
      <c r="G117">
        <f t="shared" si="2"/>
        <v>0.7142857142857143</v>
      </c>
      <c r="I117">
        <f t="shared" si="3"/>
        <v>60</v>
      </c>
      <c r="K117" t="s">
        <v>681</v>
      </c>
    </row>
    <row r="118" spans="3:11" x14ac:dyDescent="0.25">
      <c r="C118">
        <v>90</v>
      </c>
      <c r="D118">
        <v>70</v>
      </c>
      <c r="E118">
        <v>20</v>
      </c>
      <c r="F118">
        <v>3175</v>
      </c>
      <c r="G118">
        <f t="shared" si="2"/>
        <v>0.7142857142857143</v>
      </c>
      <c r="I118">
        <f t="shared" si="3"/>
        <v>60</v>
      </c>
      <c r="K118" t="s">
        <v>682</v>
      </c>
    </row>
    <row r="119" spans="3:11" x14ac:dyDescent="0.25">
      <c r="C119">
        <v>90</v>
      </c>
      <c r="D119">
        <v>70</v>
      </c>
      <c r="E119">
        <v>20</v>
      </c>
      <c r="F119">
        <v>2738</v>
      </c>
      <c r="G119">
        <f t="shared" si="2"/>
        <v>0.7142857142857143</v>
      </c>
      <c r="I119">
        <f t="shared" si="3"/>
        <v>60</v>
      </c>
      <c r="K119" t="s">
        <v>683</v>
      </c>
    </row>
    <row r="120" spans="3:11" x14ac:dyDescent="0.25">
      <c r="C120">
        <v>90</v>
      </c>
      <c r="D120">
        <v>70</v>
      </c>
      <c r="E120">
        <v>20</v>
      </c>
      <c r="F120">
        <v>3528</v>
      </c>
      <c r="G120">
        <f t="shared" si="2"/>
        <v>0.7142857142857143</v>
      </c>
      <c r="I120">
        <f t="shared" si="3"/>
        <v>60</v>
      </c>
      <c r="K120" t="s">
        <v>684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4DDC8-97AB-4D28-8446-1D4940CF1210}">
  <sheetPr codeName="Sheet19"/>
  <dimension ref="C2:N91"/>
  <sheetViews>
    <sheetView workbookViewId="0">
      <selection activeCell="S10" sqref="S10"/>
    </sheetView>
  </sheetViews>
  <sheetFormatPr defaultRowHeight="15" x14ac:dyDescent="0.25"/>
  <sheetData>
    <row r="2" spans="3:14" x14ac:dyDescent="0.25">
      <c r="C2" t="s">
        <v>67</v>
      </c>
      <c r="D2" t="s">
        <v>68</v>
      </c>
      <c r="E2" t="s">
        <v>69</v>
      </c>
      <c r="F2" t="s">
        <v>70</v>
      </c>
      <c r="G2" t="s">
        <v>66</v>
      </c>
      <c r="I2" t="s">
        <v>5</v>
      </c>
      <c r="K2" t="s">
        <v>86</v>
      </c>
      <c r="N2" t="s">
        <v>93</v>
      </c>
    </row>
    <row r="3" spans="3:14" x14ac:dyDescent="0.25">
      <c r="C3">
        <v>90</v>
      </c>
      <c r="D3">
        <v>70</v>
      </c>
      <c r="E3">
        <v>20</v>
      </c>
      <c r="F3">
        <v>1159</v>
      </c>
      <c r="G3">
        <f>(D3-E3)/(C3-E3)</f>
        <v>0.7142857142857143</v>
      </c>
      <c r="I3">
        <f>IF(G3&gt;=0.7,(C3+D3)/2-E3,(C3-D3)/(LN((C3-E3)/(D3-E3))))</f>
        <v>60</v>
      </c>
      <c r="K3" t="s">
        <v>685</v>
      </c>
      <c r="N3">
        <f>COUNT(G:G)</f>
        <v>89</v>
      </c>
    </row>
    <row r="4" spans="3:14" x14ac:dyDescent="0.25">
      <c r="C4">
        <v>90</v>
      </c>
      <c r="D4">
        <v>70</v>
      </c>
      <c r="E4">
        <v>20</v>
      </c>
      <c r="F4">
        <v>1496</v>
      </c>
      <c r="G4">
        <f t="shared" ref="G4:G66" si="0">(D4-E4)/(C4-E4)</f>
        <v>0.7142857142857143</v>
      </c>
      <c r="I4">
        <f t="shared" ref="I4:I66" si="1">IF(G4&gt;=0.7,(C4+D4)/2-E4,(C4-D4)/(LN((C4-E4)/(D4-E4))))</f>
        <v>60</v>
      </c>
      <c r="K4" t="s">
        <v>686</v>
      </c>
    </row>
    <row r="5" spans="3:14" x14ac:dyDescent="0.25">
      <c r="C5">
        <v>90</v>
      </c>
      <c r="D5">
        <v>70</v>
      </c>
      <c r="E5">
        <v>20</v>
      </c>
      <c r="F5">
        <v>1390</v>
      </c>
      <c r="G5">
        <f t="shared" si="0"/>
        <v>0.7142857142857143</v>
      </c>
      <c r="I5">
        <f t="shared" si="1"/>
        <v>60</v>
      </c>
      <c r="K5" t="s">
        <v>687</v>
      </c>
    </row>
    <row r="6" spans="3:14" x14ac:dyDescent="0.25">
      <c r="C6">
        <v>90</v>
      </c>
      <c r="D6">
        <v>70</v>
      </c>
      <c r="E6">
        <v>20</v>
      </c>
      <c r="F6">
        <v>1796</v>
      </c>
      <c r="G6">
        <f t="shared" si="0"/>
        <v>0.7142857142857143</v>
      </c>
      <c r="I6">
        <f t="shared" si="1"/>
        <v>60</v>
      </c>
      <c r="K6" t="s">
        <v>688</v>
      </c>
    </row>
    <row r="7" spans="3:14" x14ac:dyDescent="0.25">
      <c r="C7">
        <v>90</v>
      </c>
      <c r="D7">
        <v>70</v>
      </c>
      <c r="E7">
        <v>20</v>
      </c>
      <c r="F7">
        <v>1622</v>
      </c>
      <c r="G7">
        <f t="shared" si="0"/>
        <v>0.7142857142857143</v>
      </c>
      <c r="I7">
        <f t="shared" si="1"/>
        <v>60</v>
      </c>
      <c r="K7" t="s">
        <v>689</v>
      </c>
    </row>
    <row r="8" spans="3:14" x14ac:dyDescent="0.25">
      <c r="C8">
        <v>90</v>
      </c>
      <c r="D8">
        <v>70</v>
      </c>
      <c r="E8">
        <v>20</v>
      </c>
      <c r="F8">
        <v>2095</v>
      </c>
      <c r="G8">
        <f t="shared" si="0"/>
        <v>0.7142857142857143</v>
      </c>
      <c r="I8">
        <f t="shared" si="1"/>
        <v>60</v>
      </c>
      <c r="K8" t="s">
        <v>690</v>
      </c>
    </row>
    <row r="9" spans="3:14" x14ac:dyDescent="0.25">
      <c r="C9">
        <v>90</v>
      </c>
      <c r="D9">
        <v>70</v>
      </c>
      <c r="E9">
        <v>20</v>
      </c>
      <c r="F9">
        <v>1854</v>
      </c>
      <c r="G9">
        <f t="shared" si="0"/>
        <v>0.7142857142857143</v>
      </c>
      <c r="I9">
        <f t="shared" si="1"/>
        <v>60</v>
      </c>
      <c r="K9" t="s">
        <v>691</v>
      </c>
    </row>
    <row r="10" spans="3:14" x14ac:dyDescent="0.25">
      <c r="C10">
        <v>90</v>
      </c>
      <c r="D10">
        <v>70</v>
      </c>
      <c r="E10">
        <v>20</v>
      </c>
      <c r="F10">
        <v>2394</v>
      </c>
      <c r="G10">
        <f t="shared" si="0"/>
        <v>0.7142857142857143</v>
      </c>
      <c r="I10">
        <f t="shared" si="1"/>
        <v>60</v>
      </c>
      <c r="K10" t="s">
        <v>692</v>
      </c>
    </row>
    <row r="11" spans="3:14" x14ac:dyDescent="0.25">
      <c r="C11">
        <v>90</v>
      </c>
      <c r="D11">
        <v>70</v>
      </c>
      <c r="E11">
        <v>20</v>
      </c>
      <c r="F11">
        <v>3375</v>
      </c>
      <c r="G11">
        <f t="shared" si="0"/>
        <v>0.7142857142857143</v>
      </c>
      <c r="I11">
        <f t="shared" si="1"/>
        <v>60</v>
      </c>
      <c r="K11" t="s">
        <v>692</v>
      </c>
    </row>
    <row r="12" spans="3:14" x14ac:dyDescent="0.25">
      <c r="C12">
        <v>90</v>
      </c>
      <c r="D12">
        <v>70</v>
      </c>
      <c r="E12">
        <v>20</v>
      </c>
      <c r="F12">
        <v>2085</v>
      </c>
      <c r="G12">
        <f t="shared" si="0"/>
        <v>0.7142857142857143</v>
      </c>
      <c r="I12">
        <f t="shared" si="1"/>
        <v>60</v>
      </c>
      <c r="K12" t="s">
        <v>693</v>
      </c>
    </row>
    <row r="13" spans="3:14" x14ac:dyDescent="0.25">
      <c r="C13">
        <v>90</v>
      </c>
      <c r="D13">
        <v>70</v>
      </c>
      <c r="E13">
        <v>20</v>
      </c>
      <c r="F13">
        <v>2693</v>
      </c>
      <c r="G13">
        <f t="shared" si="0"/>
        <v>0.7142857142857143</v>
      </c>
      <c r="I13">
        <f t="shared" si="1"/>
        <v>60</v>
      </c>
      <c r="K13" t="s">
        <v>694</v>
      </c>
    </row>
    <row r="14" spans="3:14" x14ac:dyDescent="0.25">
      <c r="C14">
        <v>90</v>
      </c>
      <c r="D14">
        <v>70</v>
      </c>
      <c r="E14">
        <v>20</v>
      </c>
      <c r="F14">
        <v>3797</v>
      </c>
      <c r="G14">
        <f t="shared" si="0"/>
        <v>0.7142857142857143</v>
      </c>
      <c r="I14">
        <f t="shared" si="1"/>
        <v>60</v>
      </c>
      <c r="K14" t="s">
        <v>694</v>
      </c>
    </row>
    <row r="15" spans="3:14" x14ac:dyDescent="0.25">
      <c r="C15">
        <v>90</v>
      </c>
      <c r="D15">
        <v>70</v>
      </c>
      <c r="E15">
        <v>20</v>
      </c>
      <c r="F15">
        <v>2317</v>
      </c>
      <c r="G15">
        <f t="shared" si="0"/>
        <v>0.7142857142857143</v>
      </c>
      <c r="I15">
        <f t="shared" si="1"/>
        <v>60</v>
      </c>
      <c r="K15" t="s">
        <v>695</v>
      </c>
    </row>
    <row r="16" spans="3:14" x14ac:dyDescent="0.25">
      <c r="C16">
        <v>90</v>
      </c>
      <c r="D16">
        <v>70</v>
      </c>
      <c r="E16">
        <v>20</v>
      </c>
      <c r="F16">
        <v>2993</v>
      </c>
      <c r="G16">
        <f t="shared" si="0"/>
        <v>0.7142857142857143</v>
      </c>
      <c r="I16">
        <f t="shared" si="1"/>
        <v>60</v>
      </c>
      <c r="K16" t="s">
        <v>696</v>
      </c>
    </row>
    <row r="17" spans="3:11" x14ac:dyDescent="0.25">
      <c r="C17">
        <v>90</v>
      </c>
      <c r="D17">
        <v>70</v>
      </c>
      <c r="E17">
        <v>20</v>
      </c>
      <c r="F17">
        <v>4219</v>
      </c>
      <c r="G17">
        <f t="shared" si="0"/>
        <v>0.7142857142857143</v>
      </c>
      <c r="I17">
        <f t="shared" si="1"/>
        <v>60</v>
      </c>
      <c r="K17" t="s">
        <v>696</v>
      </c>
    </row>
    <row r="18" spans="3:11" x14ac:dyDescent="0.25">
      <c r="C18">
        <v>90</v>
      </c>
      <c r="D18">
        <v>70</v>
      </c>
      <c r="E18">
        <v>20</v>
      </c>
      <c r="F18">
        <v>2549</v>
      </c>
      <c r="G18">
        <f t="shared" si="0"/>
        <v>0.7142857142857143</v>
      </c>
      <c r="I18">
        <f t="shared" si="1"/>
        <v>60</v>
      </c>
      <c r="K18" t="s">
        <v>697</v>
      </c>
    </row>
    <row r="19" spans="3:11" x14ac:dyDescent="0.25">
      <c r="C19">
        <v>90</v>
      </c>
      <c r="D19">
        <v>70</v>
      </c>
      <c r="E19">
        <v>20</v>
      </c>
      <c r="F19">
        <v>3292</v>
      </c>
      <c r="G19">
        <f t="shared" si="0"/>
        <v>0.7142857142857143</v>
      </c>
      <c r="I19">
        <f t="shared" si="1"/>
        <v>60</v>
      </c>
      <c r="K19" t="s">
        <v>698</v>
      </c>
    </row>
    <row r="20" spans="3:11" x14ac:dyDescent="0.25">
      <c r="C20">
        <v>90</v>
      </c>
      <c r="D20">
        <v>70</v>
      </c>
      <c r="E20">
        <v>20</v>
      </c>
      <c r="F20">
        <v>4641</v>
      </c>
      <c r="G20">
        <f t="shared" si="0"/>
        <v>0.7142857142857143</v>
      </c>
      <c r="I20">
        <f t="shared" si="1"/>
        <v>60</v>
      </c>
      <c r="K20" t="s">
        <v>698</v>
      </c>
    </row>
    <row r="21" spans="3:11" x14ac:dyDescent="0.25">
      <c r="C21">
        <v>90</v>
      </c>
      <c r="D21">
        <v>70</v>
      </c>
      <c r="E21">
        <v>20</v>
      </c>
      <c r="F21">
        <v>2781</v>
      </c>
      <c r="G21">
        <f t="shared" si="0"/>
        <v>0.7142857142857143</v>
      </c>
      <c r="I21">
        <f t="shared" si="1"/>
        <v>60</v>
      </c>
      <c r="K21" t="s">
        <v>699</v>
      </c>
    </row>
    <row r="22" spans="3:11" x14ac:dyDescent="0.25">
      <c r="C22">
        <v>90</v>
      </c>
      <c r="D22">
        <v>70</v>
      </c>
      <c r="E22">
        <v>20</v>
      </c>
      <c r="F22">
        <v>3591</v>
      </c>
      <c r="G22">
        <f t="shared" si="0"/>
        <v>0.7142857142857143</v>
      </c>
      <c r="I22">
        <f t="shared" si="1"/>
        <v>60</v>
      </c>
      <c r="K22" t="s">
        <v>700</v>
      </c>
    </row>
    <row r="23" spans="3:11" x14ac:dyDescent="0.25">
      <c r="C23">
        <v>90</v>
      </c>
      <c r="D23">
        <v>70</v>
      </c>
      <c r="E23">
        <v>20</v>
      </c>
      <c r="F23">
        <v>5063</v>
      </c>
      <c r="G23">
        <f t="shared" si="0"/>
        <v>0.7142857142857143</v>
      </c>
      <c r="I23">
        <f t="shared" si="1"/>
        <v>60</v>
      </c>
      <c r="K23" t="s">
        <v>700</v>
      </c>
    </row>
    <row r="24" spans="3:11" x14ac:dyDescent="0.25">
      <c r="C24">
        <v>90</v>
      </c>
      <c r="D24">
        <v>70</v>
      </c>
      <c r="E24">
        <v>20</v>
      </c>
      <c r="F24">
        <v>3244</v>
      </c>
      <c r="G24">
        <f t="shared" si="0"/>
        <v>0.7142857142857143</v>
      </c>
      <c r="I24">
        <f t="shared" si="1"/>
        <v>60</v>
      </c>
      <c r="K24" t="s">
        <v>701</v>
      </c>
    </row>
    <row r="25" spans="3:11" x14ac:dyDescent="0.25">
      <c r="C25">
        <v>90</v>
      </c>
      <c r="D25">
        <v>70</v>
      </c>
      <c r="E25">
        <v>20</v>
      </c>
      <c r="F25">
        <v>4190</v>
      </c>
      <c r="G25">
        <f t="shared" si="0"/>
        <v>0.7142857142857143</v>
      </c>
      <c r="I25">
        <f t="shared" si="1"/>
        <v>60</v>
      </c>
      <c r="K25" t="s">
        <v>702</v>
      </c>
    </row>
    <row r="26" spans="3:11" x14ac:dyDescent="0.25">
      <c r="C26">
        <v>90</v>
      </c>
      <c r="D26">
        <v>70</v>
      </c>
      <c r="E26">
        <v>20</v>
      </c>
      <c r="F26">
        <v>5907</v>
      </c>
      <c r="G26">
        <f t="shared" si="0"/>
        <v>0.7142857142857143</v>
      </c>
      <c r="I26">
        <f t="shared" si="1"/>
        <v>60</v>
      </c>
      <c r="K26" t="s">
        <v>702</v>
      </c>
    </row>
    <row r="27" spans="3:11" x14ac:dyDescent="0.25">
      <c r="C27">
        <v>90</v>
      </c>
      <c r="D27">
        <v>70</v>
      </c>
      <c r="E27">
        <v>20</v>
      </c>
      <c r="F27">
        <v>3707</v>
      </c>
      <c r="G27">
        <f t="shared" si="0"/>
        <v>0.7142857142857143</v>
      </c>
      <c r="I27">
        <f t="shared" si="1"/>
        <v>60</v>
      </c>
      <c r="K27" t="s">
        <v>703</v>
      </c>
    </row>
    <row r="28" spans="3:11" x14ac:dyDescent="0.25">
      <c r="C28">
        <v>90</v>
      </c>
      <c r="D28">
        <v>70</v>
      </c>
      <c r="E28">
        <v>20</v>
      </c>
      <c r="F28">
        <v>4788</v>
      </c>
      <c r="G28">
        <f t="shared" si="0"/>
        <v>0.7142857142857143</v>
      </c>
      <c r="I28">
        <f t="shared" si="1"/>
        <v>60</v>
      </c>
      <c r="K28" t="s">
        <v>704</v>
      </c>
    </row>
    <row r="29" spans="3:11" x14ac:dyDescent="0.25">
      <c r="C29">
        <v>90</v>
      </c>
      <c r="D29">
        <v>70</v>
      </c>
      <c r="E29">
        <v>20</v>
      </c>
      <c r="F29">
        <v>6750</v>
      </c>
      <c r="G29">
        <f t="shared" si="0"/>
        <v>0.7142857142857143</v>
      </c>
      <c r="I29">
        <f t="shared" si="1"/>
        <v>60</v>
      </c>
      <c r="K29" t="s">
        <v>704</v>
      </c>
    </row>
    <row r="30" spans="3:11" x14ac:dyDescent="0.25">
      <c r="C30">
        <v>90</v>
      </c>
      <c r="D30">
        <v>70</v>
      </c>
      <c r="E30">
        <v>20</v>
      </c>
      <c r="F30">
        <v>678</v>
      </c>
      <c r="G30">
        <f t="shared" si="0"/>
        <v>0.7142857142857143</v>
      </c>
      <c r="I30">
        <f t="shared" si="1"/>
        <v>60</v>
      </c>
      <c r="K30" t="s">
        <v>705</v>
      </c>
    </row>
    <row r="31" spans="3:11" x14ac:dyDescent="0.25">
      <c r="C31">
        <v>90</v>
      </c>
      <c r="D31">
        <v>70</v>
      </c>
      <c r="E31">
        <v>20</v>
      </c>
      <c r="F31">
        <v>875</v>
      </c>
      <c r="G31">
        <f t="shared" si="0"/>
        <v>0.7142857142857143</v>
      </c>
      <c r="I31">
        <f t="shared" si="1"/>
        <v>60</v>
      </c>
      <c r="K31" t="s">
        <v>705</v>
      </c>
    </row>
    <row r="32" spans="3:11" x14ac:dyDescent="0.25">
      <c r="C32">
        <v>90</v>
      </c>
      <c r="D32">
        <v>70</v>
      </c>
      <c r="E32">
        <v>20</v>
      </c>
      <c r="F32">
        <v>848</v>
      </c>
      <c r="G32">
        <f t="shared" si="0"/>
        <v>0.7142857142857143</v>
      </c>
      <c r="I32">
        <f t="shared" si="1"/>
        <v>60</v>
      </c>
      <c r="K32" t="s">
        <v>706</v>
      </c>
    </row>
    <row r="33" spans="3:11" x14ac:dyDescent="0.25">
      <c r="C33">
        <v>90</v>
      </c>
      <c r="D33">
        <v>70</v>
      </c>
      <c r="E33">
        <v>20</v>
      </c>
      <c r="F33">
        <v>1093</v>
      </c>
      <c r="G33">
        <f t="shared" si="0"/>
        <v>0.7142857142857143</v>
      </c>
      <c r="I33">
        <f t="shared" si="1"/>
        <v>60</v>
      </c>
      <c r="K33" t="s">
        <v>706</v>
      </c>
    </row>
    <row r="34" spans="3:11" x14ac:dyDescent="0.25">
      <c r="C34">
        <v>90</v>
      </c>
      <c r="D34">
        <v>70</v>
      </c>
      <c r="E34">
        <v>20</v>
      </c>
      <c r="F34">
        <v>1017</v>
      </c>
      <c r="G34">
        <f t="shared" si="0"/>
        <v>0.7142857142857143</v>
      </c>
      <c r="I34">
        <f t="shared" si="1"/>
        <v>60</v>
      </c>
      <c r="K34" t="s">
        <v>707</v>
      </c>
    </row>
    <row r="35" spans="3:11" x14ac:dyDescent="0.25">
      <c r="C35">
        <v>90</v>
      </c>
      <c r="D35">
        <v>70</v>
      </c>
      <c r="E35">
        <v>20</v>
      </c>
      <c r="F35">
        <v>1312</v>
      </c>
      <c r="G35">
        <f t="shared" si="0"/>
        <v>0.7142857142857143</v>
      </c>
      <c r="I35">
        <f t="shared" si="1"/>
        <v>60</v>
      </c>
      <c r="K35" t="s">
        <v>707</v>
      </c>
    </row>
    <row r="36" spans="3:11" x14ac:dyDescent="0.25">
      <c r="C36">
        <v>90</v>
      </c>
      <c r="D36">
        <v>70</v>
      </c>
      <c r="E36">
        <v>20</v>
      </c>
      <c r="F36">
        <v>1187</v>
      </c>
      <c r="G36">
        <f t="shared" si="0"/>
        <v>0.7142857142857143</v>
      </c>
      <c r="I36">
        <f t="shared" si="1"/>
        <v>60</v>
      </c>
      <c r="K36" t="s">
        <v>708</v>
      </c>
    </row>
    <row r="37" spans="3:11" x14ac:dyDescent="0.25">
      <c r="C37">
        <v>90</v>
      </c>
      <c r="D37">
        <v>70</v>
      </c>
      <c r="E37">
        <v>20</v>
      </c>
      <c r="F37">
        <v>1531</v>
      </c>
      <c r="G37">
        <f t="shared" si="0"/>
        <v>0.7142857142857143</v>
      </c>
      <c r="I37">
        <f t="shared" si="1"/>
        <v>60</v>
      </c>
      <c r="K37" t="s">
        <v>708</v>
      </c>
    </row>
    <row r="38" spans="3:11" x14ac:dyDescent="0.25">
      <c r="C38">
        <v>90</v>
      </c>
      <c r="D38">
        <v>70</v>
      </c>
      <c r="E38">
        <v>20</v>
      </c>
      <c r="F38">
        <v>1356</v>
      </c>
      <c r="G38">
        <f t="shared" si="0"/>
        <v>0.7142857142857143</v>
      </c>
      <c r="I38">
        <f t="shared" si="1"/>
        <v>60</v>
      </c>
      <c r="K38" t="s">
        <v>709</v>
      </c>
    </row>
    <row r="39" spans="3:11" x14ac:dyDescent="0.25">
      <c r="C39">
        <v>90</v>
      </c>
      <c r="D39">
        <v>70</v>
      </c>
      <c r="E39">
        <v>20</v>
      </c>
      <c r="F39">
        <v>1749</v>
      </c>
      <c r="G39">
        <f t="shared" si="0"/>
        <v>0.7142857142857143</v>
      </c>
      <c r="I39">
        <f t="shared" si="1"/>
        <v>60</v>
      </c>
      <c r="K39" t="s">
        <v>709</v>
      </c>
    </row>
    <row r="40" spans="3:11" x14ac:dyDescent="0.25">
      <c r="C40">
        <v>90</v>
      </c>
      <c r="D40">
        <v>70</v>
      </c>
      <c r="E40">
        <v>20</v>
      </c>
      <c r="F40">
        <v>1526</v>
      </c>
      <c r="G40">
        <f t="shared" si="0"/>
        <v>0.7142857142857143</v>
      </c>
      <c r="I40">
        <f t="shared" si="1"/>
        <v>60</v>
      </c>
      <c r="K40" t="s">
        <v>710</v>
      </c>
    </row>
    <row r="41" spans="3:11" x14ac:dyDescent="0.25">
      <c r="C41">
        <v>90</v>
      </c>
      <c r="D41">
        <v>70</v>
      </c>
      <c r="E41">
        <v>20</v>
      </c>
      <c r="F41">
        <v>1968</v>
      </c>
      <c r="G41">
        <f t="shared" si="0"/>
        <v>0.7142857142857143</v>
      </c>
      <c r="I41">
        <f t="shared" si="1"/>
        <v>60</v>
      </c>
      <c r="K41" t="s">
        <v>710</v>
      </c>
    </row>
    <row r="42" spans="3:11" x14ac:dyDescent="0.25">
      <c r="C42">
        <v>90</v>
      </c>
      <c r="D42">
        <v>70</v>
      </c>
      <c r="E42">
        <v>20</v>
      </c>
      <c r="F42">
        <v>1695</v>
      </c>
      <c r="G42">
        <f t="shared" si="0"/>
        <v>0.7142857142857143</v>
      </c>
      <c r="I42">
        <f t="shared" si="1"/>
        <v>60</v>
      </c>
      <c r="K42" t="s">
        <v>711</v>
      </c>
    </row>
    <row r="43" spans="3:11" x14ac:dyDescent="0.25">
      <c r="C43">
        <v>90</v>
      </c>
      <c r="D43">
        <v>70</v>
      </c>
      <c r="E43">
        <v>20</v>
      </c>
      <c r="F43">
        <v>2187</v>
      </c>
      <c r="G43">
        <f t="shared" si="0"/>
        <v>0.7142857142857143</v>
      </c>
      <c r="I43">
        <f t="shared" si="1"/>
        <v>60</v>
      </c>
      <c r="K43" t="s">
        <v>711</v>
      </c>
    </row>
    <row r="44" spans="3:11" x14ac:dyDescent="0.25">
      <c r="C44">
        <v>90</v>
      </c>
      <c r="D44">
        <v>70</v>
      </c>
      <c r="E44">
        <v>20</v>
      </c>
      <c r="F44">
        <v>1865</v>
      </c>
      <c r="G44">
        <f t="shared" si="0"/>
        <v>0.7142857142857143</v>
      </c>
      <c r="I44">
        <f t="shared" si="1"/>
        <v>60</v>
      </c>
      <c r="K44" t="s">
        <v>712</v>
      </c>
    </row>
    <row r="45" spans="3:11" x14ac:dyDescent="0.25">
      <c r="C45">
        <v>90</v>
      </c>
      <c r="D45">
        <v>70</v>
      </c>
      <c r="E45">
        <v>20</v>
      </c>
      <c r="F45">
        <v>2405</v>
      </c>
      <c r="G45">
        <f t="shared" si="0"/>
        <v>0.7142857142857143</v>
      </c>
      <c r="I45">
        <f t="shared" si="1"/>
        <v>60</v>
      </c>
      <c r="K45" t="s">
        <v>712</v>
      </c>
    </row>
    <row r="46" spans="3:11" x14ac:dyDescent="0.25">
      <c r="C46">
        <v>90</v>
      </c>
      <c r="D46">
        <v>70</v>
      </c>
      <c r="E46">
        <v>20</v>
      </c>
      <c r="F46">
        <v>2034</v>
      </c>
      <c r="G46">
        <f t="shared" si="0"/>
        <v>0.7142857142857143</v>
      </c>
      <c r="I46">
        <f t="shared" si="1"/>
        <v>60</v>
      </c>
      <c r="K46" t="s">
        <v>713</v>
      </c>
    </row>
    <row r="47" spans="3:11" x14ac:dyDescent="0.25">
      <c r="C47">
        <v>90</v>
      </c>
      <c r="D47">
        <v>70</v>
      </c>
      <c r="E47">
        <v>20</v>
      </c>
      <c r="F47">
        <v>2624</v>
      </c>
      <c r="G47">
        <f t="shared" si="0"/>
        <v>0.7142857142857143</v>
      </c>
      <c r="I47">
        <f t="shared" si="1"/>
        <v>60</v>
      </c>
      <c r="K47" t="s">
        <v>713</v>
      </c>
    </row>
    <row r="48" spans="3:11" x14ac:dyDescent="0.25">
      <c r="C48">
        <v>90</v>
      </c>
      <c r="D48">
        <v>70</v>
      </c>
      <c r="E48">
        <v>20</v>
      </c>
      <c r="F48">
        <v>2373</v>
      </c>
      <c r="G48">
        <f t="shared" si="0"/>
        <v>0.7142857142857143</v>
      </c>
      <c r="I48">
        <f t="shared" si="1"/>
        <v>60</v>
      </c>
      <c r="K48" t="s">
        <v>714</v>
      </c>
    </row>
    <row r="49" spans="3:11" x14ac:dyDescent="0.25">
      <c r="C49">
        <v>90</v>
      </c>
      <c r="D49">
        <v>70</v>
      </c>
      <c r="E49">
        <v>20</v>
      </c>
      <c r="F49">
        <v>3061</v>
      </c>
      <c r="G49">
        <f t="shared" si="0"/>
        <v>0.7142857142857143</v>
      </c>
      <c r="I49">
        <f t="shared" si="1"/>
        <v>60</v>
      </c>
      <c r="K49" t="s">
        <v>714</v>
      </c>
    </row>
    <row r="50" spans="3:11" x14ac:dyDescent="0.25">
      <c r="C50">
        <v>90</v>
      </c>
      <c r="D50">
        <v>70</v>
      </c>
      <c r="E50">
        <v>20</v>
      </c>
      <c r="F50">
        <v>2712</v>
      </c>
      <c r="G50">
        <f t="shared" si="0"/>
        <v>0.7142857142857143</v>
      </c>
      <c r="I50">
        <f t="shared" si="1"/>
        <v>60</v>
      </c>
      <c r="K50" t="s">
        <v>715</v>
      </c>
    </row>
    <row r="51" spans="3:11" x14ac:dyDescent="0.25">
      <c r="C51">
        <v>90</v>
      </c>
      <c r="D51">
        <v>70</v>
      </c>
      <c r="E51">
        <v>20</v>
      </c>
      <c r="F51">
        <v>3499</v>
      </c>
      <c r="G51">
        <f t="shared" si="0"/>
        <v>0.7142857142857143</v>
      </c>
      <c r="I51">
        <f t="shared" si="1"/>
        <v>60</v>
      </c>
      <c r="K51" t="s">
        <v>715</v>
      </c>
    </row>
    <row r="52" spans="3:11" x14ac:dyDescent="0.25">
      <c r="C52">
        <v>90</v>
      </c>
      <c r="D52">
        <v>70</v>
      </c>
      <c r="E52">
        <v>20</v>
      </c>
      <c r="F52">
        <v>1144</v>
      </c>
      <c r="G52">
        <f t="shared" si="0"/>
        <v>0.7142857142857143</v>
      </c>
      <c r="I52">
        <f t="shared" si="1"/>
        <v>60</v>
      </c>
      <c r="K52" t="s">
        <v>716</v>
      </c>
    </row>
    <row r="53" spans="3:11" x14ac:dyDescent="0.25">
      <c r="C53">
        <v>90</v>
      </c>
      <c r="D53">
        <v>70</v>
      </c>
      <c r="E53">
        <v>20</v>
      </c>
      <c r="F53">
        <v>1430</v>
      </c>
      <c r="G53">
        <f t="shared" si="0"/>
        <v>0.7142857142857143</v>
      </c>
      <c r="I53">
        <f t="shared" si="1"/>
        <v>60</v>
      </c>
      <c r="K53" t="s">
        <v>717</v>
      </c>
    </row>
    <row r="54" spans="3:11" x14ac:dyDescent="0.25">
      <c r="C54">
        <v>90</v>
      </c>
      <c r="D54">
        <v>70</v>
      </c>
      <c r="E54">
        <v>20</v>
      </c>
      <c r="F54">
        <v>1716</v>
      </c>
      <c r="G54">
        <f t="shared" si="0"/>
        <v>0.7142857142857143</v>
      </c>
      <c r="I54">
        <f t="shared" si="1"/>
        <v>60</v>
      </c>
      <c r="K54" t="s">
        <v>718</v>
      </c>
    </row>
    <row r="55" spans="3:11" x14ac:dyDescent="0.25">
      <c r="C55">
        <v>90</v>
      </c>
      <c r="D55">
        <v>70</v>
      </c>
      <c r="E55">
        <v>20</v>
      </c>
      <c r="F55">
        <v>2001</v>
      </c>
      <c r="G55">
        <f t="shared" si="0"/>
        <v>0.7142857142857143</v>
      </c>
      <c r="I55">
        <f t="shared" si="1"/>
        <v>60</v>
      </c>
      <c r="K55" t="s">
        <v>719</v>
      </c>
    </row>
    <row r="56" spans="3:11" x14ac:dyDescent="0.25">
      <c r="C56">
        <v>90</v>
      </c>
      <c r="D56">
        <v>70</v>
      </c>
      <c r="E56">
        <v>20</v>
      </c>
      <c r="F56">
        <v>2287</v>
      </c>
      <c r="G56">
        <f t="shared" si="0"/>
        <v>0.7142857142857143</v>
      </c>
      <c r="I56">
        <f t="shared" si="1"/>
        <v>60</v>
      </c>
      <c r="K56" t="s">
        <v>720</v>
      </c>
    </row>
    <row r="57" spans="3:11" x14ac:dyDescent="0.25">
      <c r="C57">
        <v>90</v>
      </c>
      <c r="D57">
        <v>70</v>
      </c>
      <c r="E57">
        <v>20</v>
      </c>
      <c r="F57">
        <v>3310</v>
      </c>
      <c r="G57">
        <f t="shared" si="0"/>
        <v>0.7142857142857143</v>
      </c>
      <c r="I57">
        <f t="shared" si="1"/>
        <v>60</v>
      </c>
      <c r="K57" t="s">
        <v>720</v>
      </c>
    </row>
    <row r="58" spans="3:11" x14ac:dyDescent="0.25">
      <c r="C58">
        <v>90</v>
      </c>
      <c r="D58">
        <v>70</v>
      </c>
      <c r="E58">
        <v>20</v>
      </c>
      <c r="F58">
        <v>2573</v>
      </c>
      <c r="G58">
        <f t="shared" si="0"/>
        <v>0.7142857142857143</v>
      </c>
      <c r="I58">
        <f t="shared" si="1"/>
        <v>60</v>
      </c>
      <c r="K58" t="s">
        <v>721</v>
      </c>
    </row>
    <row r="59" spans="3:11" x14ac:dyDescent="0.25">
      <c r="C59">
        <v>90</v>
      </c>
      <c r="D59">
        <v>70</v>
      </c>
      <c r="E59">
        <v>20</v>
      </c>
      <c r="F59">
        <v>3724</v>
      </c>
      <c r="G59">
        <f t="shared" si="0"/>
        <v>0.7142857142857143</v>
      </c>
      <c r="I59">
        <f t="shared" si="1"/>
        <v>60</v>
      </c>
      <c r="K59" t="s">
        <v>721</v>
      </c>
    </row>
    <row r="60" spans="3:11" x14ac:dyDescent="0.25">
      <c r="C60">
        <v>90</v>
      </c>
      <c r="D60">
        <v>70</v>
      </c>
      <c r="E60">
        <v>20</v>
      </c>
      <c r="F60">
        <v>2859</v>
      </c>
      <c r="G60">
        <f t="shared" si="0"/>
        <v>0.7142857142857143</v>
      </c>
      <c r="I60">
        <f t="shared" si="1"/>
        <v>60</v>
      </c>
      <c r="K60" t="s">
        <v>722</v>
      </c>
    </row>
    <row r="61" spans="3:11" x14ac:dyDescent="0.25">
      <c r="C61">
        <v>90</v>
      </c>
      <c r="D61">
        <v>70</v>
      </c>
      <c r="E61">
        <v>20</v>
      </c>
      <c r="F61">
        <v>4138</v>
      </c>
      <c r="G61">
        <f t="shared" si="0"/>
        <v>0.7142857142857143</v>
      </c>
      <c r="I61">
        <f t="shared" si="1"/>
        <v>60</v>
      </c>
      <c r="K61" t="s">
        <v>722</v>
      </c>
    </row>
    <row r="62" spans="3:11" x14ac:dyDescent="0.25">
      <c r="C62">
        <v>90</v>
      </c>
      <c r="D62">
        <v>70</v>
      </c>
      <c r="E62">
        <v>20</v>
      </c>
      <c r="F62">
        <v>3145</v>
      </c>
      <c r="G62">
        <f t="shared" si="0"/>
        <v>0.7142857142857143</v>
      </c>
      <c r="I62">
        <f t="shared" si="1"/>
        <v>60</v>
      </c>
      <c r="K62" t="s">
        <v>723</v>
      </c>
    </row>
    <row r="63" spans="3:11" x14ac:dyDescent="0.25">
      <c r="C63">
        <v>90</v>
      </c>
      <c r="D63">
        <v>70</v>
      </c>
      <c r="E63">
        <v>20</v>
      </c>
      <c r="F63">
        <v>4551</v>
      </c>
      <c r="G63">
        <f t="shared" si="0"/>
        <v>0.7142857142857143</v>
      </c>
      <c r="I63">
        <f t="shared" si="1"/>
        <v>60</v>
      </c>
      <c r="K63" t="s">
        <v>723</v>
      </c>
    </row>
    <row r="64" spans="3:11" x14ac:dyDescent="0.25">
      <c r="C64">
        <v>90</v>
      </c>
      <c r="D64">
        <v>70</v>
      </c>
      <c r="E64">
        <v>20</v>
      </c>
      <c r="F64">
        <v>3431</v>
      </c>
      <c r="G64">
        <f t="shared" si="0"/>
        <v>0.7142857142857143</v>
      </c>
      <c r="I64">
        <f t="shared" si="1"/>
        <v>60</v>
      </c>
      <c r="K64" t="s">
        <v>724</v>
      </c>
    </row>
    <row r="65" spans="3:11" x14ac:dyDescent="0.25">
      <c r="C65">
        <v>90</v>
      </c>
      <c r="D65">
        <v>70</v>
      </c>
      <c r="E65">
        <v>20</v>
      </c>
      <c r="F65">
        <v>4965</v>
      </c>
      <c r="G65">
        <f t="shared" si="0"/>
        <v>0.7142857142857143</v>
      </c>
      <c r="I65">
        <f t="shared" si="1"/>
        <v>60</v>
      </c>
      <c r="K65" t="s">
        <v>724</v>
      </c>
    </row>
    <row r="66" spans="3:11" x14ac:dyDescent="0.25">
      <c r="C66">
        <v>90</v>
      </c>
      <c r="D66">
        <v>70</v>
      </c>
      <c r="E66">
        <v>20</v>
      </c>
      <c r="F66">
        <v>4003</v>
      </c>
      <c r="G66">
        <f t="shared" si="0"/>
        <v>0.7142857142857143</v>
      </c>
      <c r="I66">
        <f t="shared" si="1"/>
        <v>60</v>
      </c>
      <c r="K66" t="s">
        <v>725</v>
      </c>
    </row>
    <row r="67" spans="3:11" x14ac:dyDescent="0.25">
      <c r="C67">
        <v>90</v>
      </c>
      <c r="D67">
        <v>70</v>
      </c>
      <c r="E67">
        <v>20</v>
      </c>
      <c r="F67">
        <v>5793</v>
      </c>
      <c r="G67">
        <f t="shared" ref="G67:G91" si="2">(D67-E67)/(C67-E67)</f>
        <v>0.7142857142857143</v>
      </c>
      <c r="I67">
        <f t="shared" ref="I67:I91" si="3">IF(G67&gt;=0.7,(C67+D67)/2-E67,(C67-D67)/(LN((C67-E67)/(D67-E67))))</f>
        <v>60</v>
      </c>
      <c r="K67" t="s">
        <v>725</v>
      </c>
    </row>
    <row r="68" spans="3:11" x14ac:dyDescent="0.25">
      <c r="C68">
        <v>90</v>
      </c>
      <c r="D68">
        <v>70</v>
      </c>
      <c r="E68">
        <v>20</v>
      </c>
      <c r="F68">
        <v>4575</v>
      </c>
      <c r="G68">
        <f t="shared" si="2"/>
        <v>0.7142857142857143</v>
      </c>
      <c r="I68">
        <f t="shared" si="3"/>
        <v>60</v>
      </c>
      <c r="K68" t="s">
        <v>726</v>
      </c>
    </row>
    <row r="69" spans="3:11" x14ac:dyDescent="0.25">
      <c r="C69">
        <v>90</v>
      </c>
      <c r="D69">
        <v>70</v>
      </c>
      <c r="E69">
        <v>20</v>
      </c>
      <c r="F69">
        <v>6620</v>
      </c>
      <c r="G69">
        <f t="shared" si="2"/>
        <v>0.7142857142857143</v>
      </c>
      <c r="I69">
        <f t="shared" si="3"/>
        <v>60</v>
      </c>
      <c r="K69" t="s">
        <v>726</v>
      </c>
    </row>
    <row r="70" spans="3:11" x14ac:dyDescent="0.25">
      <c r="C70">
        <v>90</v>
      </c>
      <c r="D70">
        <v>70</v>
      </c>
      <c r="E70">
        <v>20</v>
      </c>
      <c r="F70">
        <v>678</v>
      </c>
      <c r="G70">
        <f t="shared" si="2"/>
        <v>0.7142857142857143</v>
      </c>
      <c r="I70">
        <f t="shared" si="3"/>
        <v>60</v>
      </c>
      <c r="K70" t="s">
        <v>727</v>
      </c>
    </row>
    <row r="71" spans="3:11" x14ac:dyDescent="0.25">
      <c r="C71">
        <v>90</v>
      </c>
      <c r="D71">
        <v>70</v>
      </c>
      <c r="E71">
        <v>20</v>
      </c>
      <c r="F71">
        <v>875</v>
      </c>
      <c r="G71">
        <f t="shared" si="2"/>
        <v>0.7142857142857143</v>
      </c>
      <c r="I71">
        <f t="shared" si="3"/>
        <v>60</v>
      </c>
      <c r="K71" t="s">
        <v>727</v>
      </c>
    </row>
    <row r="72" spans="3:11" x14ac:dyDescent="0.25">
      <c r="C72">
        <v>90</v>
      </c>
      <c r="D72">
        <v>70</v>
      </c>
      <c r="E72">
        <v>20</v>
      </c>
      <c r="F72">
        <v>848</v>
      </c>
      <c r="G72">
        <f t="shared" si="2"/>
        <v>0.7142857142857143</v>
      </c>
      <c r="I72">
        <f t="shared" si="3"/>
        <v>60</v>
      </c>
      <c r="K72" t="s">
        <v>728</v>
      </c>
    </row>
    <row r="73" spans="3:11" x14ac:dyDescent="0.25">
      <c r="C73">
        <v>90</v>
      </c>
      <c r="D73">
        <v>70</v>
      </c>
      <c r="E73">
        <v>20</v>
      </c>
      <c r="F73">
        <v>1093</v>
      </c>
      <c r="G73">
        <f t="shared" si="2"/>
        <v>0.7142857142857143</v>
      </c>
      <c r="I73">
        <f t="shared" si="3"/>
        <v>60</v>
      </c>
      <c r="K73" t="s">
        <v>728</v>
      </c>
    </row>
    <row r="74" spans="3:11" x14ac:dyDescent="0.25">
      <c r="C74">
        <v>90</v>
      </c>
      <c r="D74">
        <v>70</v>
      </c>
      <c r="E74">
        <v>20</v>
      </c>
      <c r="F74">
        <v>1017</v>
      </c>
      <c r="G74">
        <f t="shared" si="2"/>
        <v>0.7142857142857143</v>
      </c>
      <c r="I74">
        <f t="shared" si="3"/>
        <v>60</v>
      </c>
      <c r="K74" t="s">
        <v>729</v>
      </c>
    </row>
    <row r="75" spans="3:11" x14ac:dyDescent="0.25">
      <c r="C75">
        <v>90</v>
      </c>
      <c r="D75">
        <v>70</v>
      </c>
      <c r="E75">
        <v>20</v>
      </c>
      <c r="F75">
        <v>1312</v>
      </c>
      <c r="G75">
        <f t="shared" si="2"/>
        <v>0.7142857142857143</v>
      </c>
      <c r="I75">
        <f t="shared" si="3"/>
        <v>60</v>
      </c>
      <c r="K75" t="s">
        <v>729</v>
      </c>
    </row>
    <row r="76" spans="3:11" x14ac:dyDescent="0.25">
      <c r="C76">
        <v>90</v>
      </c>
      <c r="D76">
        <v>70</v>
      </c>
      <c r="E76">
        <v>20</v>
      </c>
      <c r="F76">
        <v>1187</v>
      </c>
      <c r="G76">
        <f t="shared" si="2"/>
        <v>0.7142857142857143</v>
      </c>
      <c r="I76">
        <f t="shared" si="3"/>
        <v>60</v>
      </c>
      <c r="K76" t="s">
        <v>730</v>
      </c>
    </row>
    <row r="77" spans="3:11" x14ac:dyDescent="0.25">
      <c r="C77">
        <v>90</v>
      </c>
      <c r="D77">
        <v>70</v>
      </c>
      <c r="E77">
        <v>20</v>
      </c>
      <c r="F77">
        <v>1531</v>
      </c>
      <c r="G77">
        <f t="shared" si="2"/>
        <v>0.7142857142857143</v>
      </c>
      <c r="I77">
        <f t="shared" si="3"/>
        <v>60</v>
      </c>
      <c r="K77" t="s">
        <v>730</v>
      </c>
    </row>
    <row r="78" spans="3:11" x14ac:dyDescent="0.25">
      <c r="C78">
        <v>90</v>
      </c>
      <c r="D78">
        <v>70</v>
      </c>
      <c r="E78">
        <v>20</v>
      </c>
      <c r="F78">
        <v>1356</v>
      </c>
      <c r="G78">
        <f t="shared" si="2"/>
        <v>0.7142857142857143</v>
      </c>
      <c r="I78">
        <f t="shared" si="3"/>
        <v>60</v>
      </c>
      <c r="K78" t="s">
        <v>731</v>
      </c>
    </row>
    <row r="79" spans="3:11" x14ac:dyDescent="0.25">
      <c r="C79">
        <v>90</v>
      </c>
      <c r="D79">
        <v>70</v>
      </c>
      <c r="E79">
        <v>20</v>
      </c>
      <c r="F79">
        <v>1749</v>
      </c>
      <c r="G79">
        <f t="shared" si="2"/>
        <v>0.7142857142857143</v>
      </c>
      <c r="I79">
        <f t="shared" si="3"/>
        <v>60</v>
      </c>
      <c r="K79" t="s">
        <v>731</v>
      </c>
    </row>
    <row r="80" spans="3:11" x14ac:dyDescent="0.25">
      <c r="C80">
        <v>90</v>
      </c>
      <c r="D80">
        <v>70</v>
      </c>
      <c r="E80">
        <v>20</v>
      </c>
      <c r="F80">
        <v>1526</v>
      </c>
      <c r="G80">
        <f t="shared" si="2"/>
        <v>0.7142857142857143</v>
      </c>
      <c r="I80">
        <f t="shared" si="3"/>
        <v>60</v>
      </c>
      <c r="K80" t="s">
        <v>732</v>
      </c>
    </row>
    <row r="81" spans="3:11" x14ac:dyDescent="0.25">
      <c r="C81">
        <v>90</v>
      </c>
      <c r="D81">
        <v>70</v>
      </c>
      <c r="E81">
        <v>20</v>
      </c>
      <c r="F81">
        <v>1968</v>
      </c>
      <c r="G81">
        <f t="shared" si="2"/>
        <v>0.7142857142857143</v>
      </c>
      <c r="I81">
        <f t="shared" si="3"/>
        <v>60</v>
      </c>
      <c r="K81" t="s">
        <v>732</v>
      </c>
    </row>
    <row r="82" spans="3:11" x14ac:dyDescent="0.25">
      <c r="C82">
        <v>90</v>
      </c>
      <c r="D82">
        <v>70</v>
      </c>
      <c r="E82">
        <v>20</v>
      </c>
      <c r="F82">
        <v>1695</v>
      </c>
      <c r="G82">
        <f t="shared" si="2"/>
        <v>0.7142857142857143</v>
      </c>
      <c r="I82">
        <f t="shared" si="3"/>
        <v>60</v>
      </c>
      <c r="K82" t="s">
        <v>733</v>
      </c>
    </row>
    <row r="83" spans="3:11" x14ac:dyDescent="0.25">
      <c r="C83">
        <v>90</v>
      </c>
      <c r="D83">
        <v>70</v>
      </c>
      <c r="E83">
        <v>20</v>
      </c>
      <c r="F83">
        <v>2187</v>
      </c>
      <c r="G83">
        <f t="shared" si="2"/>
        <v>0.7142857142857143</v>
      </c>
      <c r="I83">
        <f t="shared" si="3"/>
        <v>60</v>
      </c>
      <c r="K83" t="s">
        <v>733</v>
      </c>
    </row>
    <row r="84" spans="3:11" x14ac:dyDescent="0.25">
      <c r="C84">
        <v>90</v>
      </c>
      <c r="D84">
        <v>70</v>
      </c>
      <c r="E84">
        <v>20</v>
      </c>
      <c r="F84">
        <v>1865</v>
      </c>
      <c r="G84">
        <f t="shared" si="2"/>
        <v>0.7142857142857143</v>
      </c>
      <c r="I84">
        <f t="shared" si="3"/>
        <v>60</v>
      </c>
      <c r="K84" t="s">
        <v>734</v>
      </c>
    </row>
    <row r="85" spans="3:11" x14ac:dyDescent="0.25">
      <c r="C85">
        <v>90</v>
      </c>
      <c r="D85">
        <v>70</v>
      </c>
      <c r="E85">
        <v>20</v>
      </c>
      <c r="F85">
        <v>2405</v>
      </c>
      <c r="G85">
        <f t="shared" si="2"/>
        <v>0.7142857142857143</v>
      </c>
      <c r="I85">
        <f t="shared" si="3"/>
        <v>60</v>
      </c>
      <c r="K85" t="s">
        <v>734</v>
      </c>
    </row>
    <row r="86" spans="3:11" x14ac:dyDescent="0.25">
      <c r="C86">
        <v>90</v>
      </c>
      <c r="D86">
        <v>70</v>
      </c>
      <c r="E86">
        <v>20</v>
      </c>
      <c r="F86">
        <v>2034</v>
      </c>
      <c r="G86">
        <f t="shared" si="2"/>
        <v>0.7142857142857143</v>
      </c>
      <c r="I86">
        <f t="shared" si="3"/>
        <v>60</v>
      </c>
      <c r="K86" t="s">
        <v>735</v>
      </c>
    </row>
    <row r="87" spans="3:11" x14ac:dyDescent="0.25">
      <c r="C87">
        <v>90</v>
      </c>
      <c r="D87">
        <v>70</v>
      </c>
      <c r="E87">
        <v>20</v>
      </c>
      <c r="F87">
        <v>2624</v>
      </c>
      <c r="G87">
        <f t="shared" si="2"/>
        <v>0.7142857142857143</v>
      </c>
      <c r="I87">
        <f t="shared" si="3"/>
        <v>60</v>
      </c>
      <c r="K87" t="s">
        <v>735</v>
      </c>
    </row>
    <row r="88" spans="3:11" x14ac:dyDescent="0.25">
      <c r="C88">
        <v>90</v>
      </c>
      <c r="D88">
        <v>70</v>
      </c>
      <c r="E88">
        <v>20</v>
      </c>
      <c r="F88">
        <v>2373</v>
      </c>
      <c r="G88">
        <f t="shared" si="2"/>
        <v>0.7142857142857143</v>
      </c>
      <c r="I88">
        <f t="shared" si="3"/>
        <v>60</v>
      </c>
      <c r="K88" t="s">
        <v>736</v>
      </c>
    </row>
    <row r="89" spans="3:11" x14ac:dyDescent="0.25">
      <c r="C89">
        <v>90</v>
      </c>
      <c r="D89">
        <v>70</v>
      </c>
      <c r="E89">
        <v>20</v>
      </c>
      <c r="F89">
        <v>3061</v>
      </c>
      <c r="G89">
        <f t="shared" si="2"/>
        <v>0.7142857142857143</v>
      </c>
      <c r="I89">
        <f t="shared" si="3"/>
        <v>60</v>
      </c>
      <c r="K89" t="s">
        <v>736</v>
      </c>
    </row>
    <row r="90" spans="3:11" x14ac:dyDescent="0.25">
      <c r="C90">
        <v>90</v>
      </c>
      <c r="D90">
        <v>70</v>
      </c>
      <c r="E90">
        <v>20</v>
      </c>
      <c r="F90">
        <v>2712</v>
      </c>
      <c r="G90">
        <f t="shared" si="2"/>
        <v>0.7142857142857143</v>
      </c>
      <c r="I90">
        <f t="shared" si="3"/>
        <v>60</v>
      </c>
      <c r="K90" t="s">
        <v>737</v>
      </c>
    </row>
    <row r="91" spans="3:11" x14ac:dyDescent="0.25">
      <c r="C91">
        <v>90</v>
      </c>
      <c r="D91">
        <v>70</v>
      </c>
      <c r="E91">
        <v>20</v>
      </c>
      <c r="F91">
        <v>3499</v>
      </c>
      <c r="G91">
        <f t="shared" si="2"/>
        <v>0.7142857142857143</v>
      </c>
      <c r="I91">
        <f t="shared" si="3"/>
        <v>60</v>
      </c>
      <c r="K91" t="s">
        <v>737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Project_setup</vt:lpstr>
      <vt:lpstr>KORADO_Radik</vt:lpstr>
      <vt:lpstr>DAIKIN_FW_</vt:lpstr>
      <vt:lpstr>Lx300</vt:lpstr>
      <vt:lpstr>Lx400</vt:lpstr>
      <vt:lpstr>Lx500</vt:lpstr>
      <vt:lpstr>Lx600</vt:lpstr>
      <vt:lpstr>Lx700</vt:lpstr>
      <vt:lpstr>Lx900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ondraZ</dc:creator>
  <cp:lastModifiedBy>ondraZ</cp:lastModifiedBy>
  <dcterms:created xsi:type="dcterms:W3CDTF">2018-08-27T09:31:12Z</dcterms:created>
  <dcterms:modified xsi:type="dcterms:W3CDTF">2018-10-30T12:33:03Z</dcterms:modified>
</cp:coreProperties>
</file>